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mgbla\Desktop\Data-Science-Analiza-ankiety-Excel-VBA-MySQL-Power-BI\"/>
    </mc:Choice>
  </mc:AlternateContent>
  <xr:revisionPtr revIDLastSave="0" documentId="13_ncr:1_{EFC9501C-DF7F-4437-95C2-63E8140E97BF}" xr6:coauthVersionLast="34" xr6:coauthVersionMax="34" xr10:uidLastSave="{00000000-0000-0000-0000-000000000000}"/>
  <bookViews>
    <workbookView xWindow="0" yWindow="9900" windowWidth="25200" windowHeight="10995" xr2:uid="{00000000-000D-0000-FFFF-FFFF00000000}"/>
  </bookViews>
  <sheets>
    <sheet name="przech_odp_druzyna" sheetId="24" r:id="rId1"/>
    <sheet name="przech_odp_zainteresowanie_turn" sheetId="22" r:id="rId2"/>
    <sheet name="przech_odp_zainteresowanie_espo" sheetId="21" r:id="rId3"/>
    <sheet name="przech_odp_gry_turniejowe" sheetId="23" r:id="rId4"/>
    <sheet name="przech_odp_gry_regularne" sheetId="20" r:id="rId5"/>
    <sheet name="odpowiedzi" sheetId="19" r:id="rId6"/>
    <sheet name="wydzial" sheetId="15" r:id="rId7"/>
    <sheet name="plec" sheetId="14" r:id="rId8"/>
    <sheet name="druzyny" sheetId="13" r:id="rId9"/>
    <sheet name="zainteresowanie_turniej" sheetId="11" r:id="rId10"/>
    <sheet name="zainteresowanie_esport" sheetId="10" r:id="rId11"/>
    <sheet name="gry_turniejowe" sheetId="18" r:id="rId12"/>
    <sheet name="gry_regularne" sheetId="17" r:id="rId13"/>
    <sheet name="Wyniki ankiety" sheetId="1" r:id="rId14"/>
  </sheets>
  <definedNames>
    <definedName name="DaneZewnętrzne_10" localSheetId="5" hidden="1">odpowiedzi!#REF!</definedName>
    <definedName name="DaneZewnętrzne_10" localSheetId="4" hidden="1">przech_odp_gry_regularne!$A$1:$D$281</definedName>
    <definedName name="DaneZewnętrzne_11" localSheetId="2" hidden="1">przech_odp_zainteresowanie_espo!$A$1:$D$247</definedName>
    <definedName name="DaneZewnętrzne_12" localSheetId="1" hidden="1">przech_odp_zainteresowanie_turn!$A$1:$D$302</definedName>
    <definedName name="DaneZewnętrzne_13" localSheetId="3" hidden="1">przech_odp_gry_turniejowe!$A$1:$D$261</definedName>
    <definedName name="DaneZewnętrzne_14" localSheetId="0" hidden="1">przech_odp_druzyna!$A$1:$D$232</definedName>
    <definedName name="DaneZewnętrzne_3" localSheetId="10" hidden="1">zainteresowanie_esport!$A$1:$B$6</definedName>
    <definedName name="DaneZewnętrzne_4" localSheetId="9" hidden="1">zainteresowanie_turniej!$A$1:$B$5</definedName>
    <definedName name="DaneZewnętrzne_6" localSheetId="8" hidden="1">druzyny!$A$1:$B$27</definedName>
    <definedName name="DaneZewnętrzne_6" localSheetId="12" hidden="1">gry_regularne!$A$1:$B$38</definedName>
    <definedName name="DaneZewnętrzne_7" localSheetId="11" hidden="1">gry_turniejowe!$A$1:$B$32</definedName>
    <definedName name="DaneZewnętrzne_7" localSheetId="7" hidden="1">plec!$A$1:$B$3</definedName>
    <definedName name="DaneZewnętrzne_8" localSheetId="6" hidden="1">wydzial!$A$1:$B$34</definedName>
    <definedName name="DaneZewnętrzne_9" localSheetId="5" hidden="1">odpowiedzi!$A$1:$H$200</definedName>
  </definedNames>
  <calcPr calcId="179021"/>
  <extLst>
    <ext xmlns:x15="http://schemas.microsoft.com/office/spreadsheetml/2010/11/main" uri="{FCE2AD5D-F65C-4FA6-A056-5C36A1767C68}">
      <x15:dataModel>
        <x15:modelTables>
          <x15:modelTable id="Tabela 1" name="Tabela 1" connection="Połączenie1"/>
          <x15:modelTable id="Tabela" name="Tabela" connection="Połączenie"/>
        </x15:modelTables>
      </x15:dataModel>
    </ext>
  </extLst>
</workbook>
</file>

<file path=xl/calcChain.xml><?xml version="1.0" encoding="utf-8"?>
<calcChain xmlns="http://schemas.openxmlformats.org/spreadsheetml/2006/main">
  <c r="B2" i="19" l="1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93" i="19"/>
  <c r="B94" i="19"/>
  <c r="B95" i="19"/>
  <c r="B96" i="19"/>
  <c r="B97" i="19"/>
  <c r="B98" i="19"/>
  <c r="B99" i="19"/>
  <c r="B100" i="19"/>
  <c r="B101" i="19"/>
  <c r="B102" i="19"/>
  <c r="B103" i="19"/>
  <c r="B104" i="19"/>
  <c r="B105" i="19"/>
  <c r="B106" i="19"/>
  <c r="B107" i="19"/>
  <c r="B108" i="19"/>
  <c r="B109" i="19"/>
  <c r="B110" i="19"/>
  <c r="B111" i="19"/>
  <c r="B112" i="19"/>
  <c r="B113" i="19"/>
  <c r="B114" i="19"/>
  <c r="B115" i="19"/>
  <c r="B116" i="19"/>
  <c r="B117" i="19"/>
  <c r="B118" i="19"/>
  <c r="B119" i="19"/>
  <c r="B120" i="19"/>
  <c r="B121" i="19"/>
  <c r="B122" i="19"/>
  <c r="B123" i="19"/>
  <c r="B124" i="19"/>
  <c r="B125" i="19"/>
  <c r="B126" i="19"/>
  <c r="B127" i="19"/>
  <c r="B128" i="19"/>
  <c r="B129" i="19"/>
  <c r="B130" i="19"/>
  <c r="B131" i="19"/>
  <c r="B132" i="19"/>
  <c r="B133" i="19"/>
  <c r="B134" i="19"/>
  <c r="B135" i="19"/>
  <c r="B136" i="19"/>
  <c r="B137" i="19"/>
  <c r="B138" i="19"/>
  <c r="B139" i="19"/>
  <c r="B140" i="19"/>
  <c r="B141" i="19"/>
  <c r="B142" i="19"/>
  <c r="B143" i="19"/>
  <c r="B144" i="19"/>
  <c r="B145" i="19"/>
  <c r="B146" i="19"/>
  <c r="B147" i="19"/>
  <c r="B148" i="19"/>
  <c r="B149" i="19"/>
  <c r="B150" i="19"/>
  <c r="B151" i="19"/>
  <c r="B152" i="19"/>
  <c r="B153" i="19"/>
  <c r="B154" i="19"/>
  <c r="B155" i="19"/>
  <c r="B156" i="19"/>
  <c r="B157" i="19"/>
  <c r="B158" i="19"/>
  <c r="B159" i="19"/>
  <c r="B160" i="19"/>
  <c r="B161" i="19"/>
  <c r="B162" i="19"/>
  <c r="B163" i="19"/>
  <c r="B164" i="19"/>
  <c r="B165" i="19"/>
  <c r="B166" i="19"/>
  <c r="B167" i="19"/>
  <c r="B168" i="19"/>
  <c r="B169" i="19"/>
  <c r="B170" i="19"/>
  <c r="B171" i="19"/>
  <c r="B172" i="19"/>
  <c r="B173" i="19"/>
  <c r="B174" i="19"/>
  <c r="B175" i="19"/>
  <c r="B176" i="19"/>
  <c r="B177" i="19"/>
  <c r="B178" i="19"/>
  <c r="B179" i="19"/>
  <c r="B180" i="19"/>
  <c r="B181" i="19"/>
  <c r="B182" i="19"/>
  <c r="B183" i="19"/>
  <c r="B184" i="19"/>
  <c r="B185" i="19"/>
  <c r="B186" i="19"/>
  <c r="B187" i="19"/>
  <c r="B188" i="19"/>
  <c r="B189" i="19"/>
  <c r="B190" i="19"/>
  <c r="B191" i="19"/>
  <c r="B192" i="19"/>
  <c r="B193" i="19"/>
  <c r="B194" i="19"/>
  <c r="B195" i="19"/>
  <c r="B196" i="19"/>
  <c r="B197" i="19"/>
  <c r="B198" i="19"/>
  <c r="B199" i="19"/>
  <c r="B200" i="19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B205" i="20"/>
  <c r="B206" i="20"/>
  <c r="B207" i="20"/>
  <c r="B208" i="20"/>
  <c r="B209" i="20"/>
  <c r="B210" i="20"/>
  <c r="B211" i="20"/>
  <c r="B212" i="20"/>
  <c r="B213" i="20"/>
  <c r="B214" i="20"/>
  <c r="B215" i="20"/>
  <c r="B216" i="20"/>
  <c r="B217" i="20"/>
  <c r="B218" i="20"/>
  <c r="B219" i="20"/>
  <c r="B220" i="20"/>
  <c r="B221" i="20"/>
  <c r="B222" i="20"/>
  <c r="B223" i="20"/>
  <c r="B224" i="20"/>
  <c r="B225" i="20"/>
  <c r="B226" i="20"/>
  <c r="B227" i="20"/>
  <c r="B228" i="20"/>
  <c r="B229" i="20"/>
  <c r="B230" i="20"/>
  <c r="B231" i="20"/>
  <c r="B232" i="20"/>
  <c r="B233" i="20"/>
  <c r="B234" i="20"/>
  <c r="B235" i="20"/>
  <c r="B236" i="20"/>
  <c r="B237" i="20"/>
  <c r="B238" i="20"/>
  <c r="B239" i="20"/>
  <c r="B240" i="20"/>
  <c r="B241" i="20"/>
  <c r="B242" i="20"/>
  <c r="B243" i="20"/>
  <c r="B244" i="20"/>
  <c r="B245" i="20"/>
  <c r="B246" i="20"/>
  <c r="B247" i="20"/>
  <c r="B248" i="20"/>
  <c r="B249" i="20"/>
  <c r="B250" i="20"/>
  <c r="B251" i="20"/>
  <c r="B252" i="20"/>
  <c r="B253" i="20"/>
  <c r="B254" i="20"/>
  <c r="B255" i="20"/>
  <c r="B256" i="20"/>
  <c r="B257" i="20"/>
  <c r="B258" i="20"/>
  <c r="B259" i="20"/>
  <c r="B260" i="20"/>
  <c r="B261" i="20"/>
  <c r="B262" i="20"/>
  <c r="B263" i="20"/>
  <c r="B264" i="20"/>
  <c r="B265" i="20"/>
  <c r="B266" i="20"/>
  <c r="B267" i="20"/>
  <c r="B268" i="20"/>
  <c r="B269" i="20"/>
  <c r="B270" i="20"/>
  <c r="B271" i="20"/>
  <c r="B272" i="20"/>
  <c r="B273" i="20"/>
  <c r="B274" i="20"/>
  <c r="B275" i="20"/>
  <c r="B276" i="20"/>
  <c r="B277" i="20"/>
  <c r="B278" i="20"/>
  <c r="B279" i="20"/>
  <c r="B280" i="20"/>
  <c r="B281" i="20"/>
  <c r="B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B205" i="23"/>
  <c r="B206" i="23"/>
  <c r="B207" i="23"/>
  <c r="B208" i="23"/>
  <c r="B209" i="23"/>
  <c r="B210" i="23"/>
  <c r="B211" i="23"/>
  <c r="B212" i="23"/>
  <c r="B213" i="23"/>
  <c r="B214" i="23"/>
  <c r="B215" i="23"/>
  <c r="B216" i="23"/>
  <c r="B217" i="23"/>
  <c r="B218" i="23"/>
  <c r="B219" i="23"/>
  <c r="B220" i="23"/>
  <c r="B221" i="23"/>
  <c r="B222" i="23"/>
  <c r="B223" i="23"/>
  <c r="B224" i="23"/>
  <c r="B225" i="23"/>
  <c r="B226" i="23"/>
  <c r="B227" i="23"/>
  <c r="B228" i="23"/>
  <c r="B229" i="23"/>
  <c r="B230" i="23"/>
  <c r="B231" i="23"/>
  <c r="B232" i="23"/>
  <c r="B233" i="23"/>
  <c r="B234" i="23"/>
  <c r="B235" i="23"/>
  <c r="B236" i="23"/>
  <c r="B237" i="23"/>
  <c r="B238" i="23"/>
  <c r="B239" i="23"/>
  <c r="B240" i="23"/>
  <c r="B241" i="23"/>
  <c r="B242" i="23"/>
  <c r="B243" i="23"/>
  <c r="B244" i="23"/>
  <c r="B245" i="23"/>
  <c r="B246" i="23"/>
  <c r="B247" i="23"/>
  <c r="B248" i="23"/>
  <c r="B249" i="23"/>
  <c r="B250" i="23"/>
  <c r="B251" i="23"/>
  <c r="B252" i="23"/>
  <c r="B253" i="23"/>
  <c r="B254" i="23"/>
  <c r="B255" i="23"/>
  <c r="B256" i="23"/>
  <c r="B257" i="23"/>
  <c r="B258" i="23"/>
  <c r="B259" i="23"/>
  <c r="B260" i="23"/>
  <c r="B261" i="23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2" i="24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B197" i="24"/>
  <c r="B198" i="24"/>
  <c r="B199" i="24"/>
  <c r="B200" i="24"/>
  <c r="B201" i="24"/>
  <c r="B202" i="24"/>
  <c r="B203" i="24"/>
  <c r="B204" i="24"/>
  <c r="B205" i="24"/>
  <c r="B206" i="24"/>
  <c r="B207" i="24"/>
  <c r="B208" i="24"/>
  <c r="B209" i="24"/>
  <c r="B210" i="24"/>
  <c r="B211" i="24"/>
  <c r="B212" i="24"/>
  <c r="B213" i="24"/>
  <c r="B214" i="24"/>
  <c r="B215" i="24"/>
  <c r="B216" i="24"/>
  <c r="B217" i="24"/>
  <c r="B218" i="24"/>
  <c r="B219" i="24"/>
  <c r="B220" i="24"/>
  <c r="B221" i="24"/>
  <c r="B222" i="24"/>
  <c r="B223" i="24"/>
  <c r="B224" i="24"/>
  <c r="B225" i="24"/>
  <c r="B226" i="24"/>
  <c r="B227" i="24"/>
  <c r="B228" i="24"/>
  <c r="B229" i="24"/>
  <c r="B230" i="24"/>
  <c r="B231" i="24"/>
  <c r="B232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EC6407-90E6-42B4-B76F-D0B1B0F30B8B}" name="Połączenie" type="104" refreshedVersion="0" background="1">
    <extLst>
      <ext xmlns:x15="http://schemas.microsoft.com/office/spreadsheetml/2010/11/main" uri="{DE250136-89BD-433C-8126-D09CA5730AF9}">
        <x15:connection id="Tabela"/>
      </ext>
    </extLst>
  </connection>
  <connection id="2" xr16:uid="{CC1E75A8-8A52-4557-84EE-AB95AF2AF3C5}" name="Połączenie1" type="104" refreshedVersion="0" background="1">
    <extLst>
      <ext xmlns:x15="http://schemas.microsoft.com/office/spreadsheetml/2010/11/main" uri="{DE250136-89BD-433C-8126-D09CA5730AF9}">
        <x15:connection id="Tabela 1"/>
      </ext>
    </extLst>
  </connection>
  <connection id="3" xr16:uid="{DF11C7F2-3C80-4DCD-A7E0-F8819B9F6D4B}" keepAlive="1" name="ThisWorkbookDataModel" description="Model danych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45DAC80C-463D-48BD-A0CE-A6A4772FAC33}" keepAlive="1" name="Zapytanie — druzyny" description="Połączenie z zapytaniem „druzyny” w skoroszycie." type="5" refreshedVersion="6" background="1" saveData="1">
    <dbPr connection="Provider=Microsoft.Mashup.OleDb.1;Data Source=$Workbook$;Location=druzyny;Extended Properties=&quot;&quot;" command="SELECT * FROM [druzyny]"/>
  </connection>
  <connection id="5" xr16:uid="{99548CBB-AFC0-41FE-A302-C6BAAB9C6AEC}" keepAlive="1" name="Zapytanie — gry_regularne" description="Połączenie z zapytaniem „gry_regularne” w skoroszycie." type="5" refreshedVersion="6" background="1" saveData="1">
    <dbPr connection="Provider=Microsoft.Mashup.OleDb.1;Data Source=$Workbook$;Location=gry_regularne;Extended Properties=&quot;&quot;" command="SELECT * FROM [gry_regularne]"/>
  </connection>
  <connection id="6" xr16:uid="{0BA53C1F-E4A6-4472-BE36-BF1B7B850AA2}" keepAlive="1" name="Zapytanie — gry_turniejowe" description="Połączenie z zapytaniem „gry_turniejowe” w skoroszycie." type="5" refreshedVersion="6" background="1" saveData="1">
    <dbPr connection="Provider=Microsoft.Mashup.OleDb.1;Data Source=$Workbook$;Location=gry_turniejowe;Extended Properties=&quot;&quot;" command="SELECT * FROM [gry_turniejowe]"/>
  </connection>
  <connection id="7" xr16:uid="{293EB407-E97B-4191-BDFC-0D1ADB85F880}" keepAlive="1" name="Zapytanie — odpowiedzi" description="Połączenie z zapytaniem „odpowiedzi” w skoroszycie." type="5" refreshedVersion="6" background="1" saveData="1">
    <dbPr connection="Provider=Microsoft.Mashup.OleDb.1;Data Source=$Workbook$;Location=odpowiedzi;Extended Properties=&quot;&quot;" command="SELECT * FROM [odpowiedzi]"/>
  </connection>
  <connection id="8" xr16:uid="{BAF6B199-B302-4253-A3EB-480FB1271B7F}" keepAlive="1" name="Zapytanie — plec" description="Połączenie z zapytaniem „plec” w skoroszycie." type="5" refreshedVersion="6" background="1" saveData="1">
    <dbPr connection="Provider=Microsoft.Mashup.OleDb.1;Data Source=$Workbook$;Location=plec;Extended Properties=&quot;&quot;" command="SELECT * FROM [plec]"/>
  </connection>
  <connection id="9" xr16:uid="{71F15A6A-B317-4E80-9146-2D4CB1F67333}" keepAlive="1" name="Zapytanie — przech_odp_druzyny" description="Połączenie z zapytaniem „przech_odp_druzyny” w skoroszycie." type="5" refreshedVersion="6" background="1" saveData="1">
    <dbPr connection="Provider=Microsoft.Mashup.OleDb.1;Data Source=$Workbook$;Location=przech_odp_druzyny;Extended Properties=&quot;&quot;" command="SELECT * FROM [przech_odp_druzyny]"/>
  </connection>
  <connection id="10" xr16:uid="{C0553436-E0FF-48C7-8D45-95B788EEC7EF}" keepAlive="1" name="Zapytanie — przech_odp_gry_regularne" description="Połączenie z zapytaniem „przech_odp_gry_regularne” w skoroszycie." type="5" refreshedVersion="6" background="1" saveData="1">
    <dbPr connection="Provider=Microsoft.Mashup.OleDb.1;Data Source=$Workbook$;Location=przech_odp_gry_regularne;Extended Properties=&quot;&quot;" command="SELECT * FROM [przech_odp_gry_regularne]"/>
  </connection>
  <connection id="11" xr16:uid="{827C3336-96A5-43D9-BF4C-64EDBD58338A}" keepAlive="1" name="Zapytanie — przech_odp_gry_turniejowe" description="Połączenie z zapytaniem „przech_odp_gry_turniejowe” w skoroszycie." type="5" refreshedVersion="6" background="1" saveData="1">
    <dbPr connection="Provider=Microsoft.Mashup.OleDb.1;Data Source=$Workbook$;Location=przech_odp_gry_turniejowe;Extended Properties=&quot;&quot;" command="SELECT * FROM [przech_odp_gry_turniejowe]"/>
  </connection>
  <connection id="12" xr16:uid="{ECADD915-C655-436F-AEED-D3C52675C649}" keepAlive="1" name="Zapytanie — przech_odp_zainteresowanie_esport" description="Połączenie z zapytaniem „przech_odp_zainteresowanie_esport” w skoroszycie." type="5" refreshedVersion="6" background="1" saveData="1">
    <dbPr connection="Provider=Microsoft.Mashup.OleDb.1;Data Source=$Workbook$;Location=przech_odp_zainteresowanie_esport;Extended Properties=&quot;&quot;" command="SELECT * FROM [przech_odp_zainteresowanie_esport]"/>
  </connection>
  <connection id="13" xr16:uid="{AABB49D3-A1E8-41EE-9A2A-AF19A08A50EA}" keepAlive="1" name="Zapytanie — przech_odp_zainteresowanie_turniej" description="Połączenie z zapytaniem „przech_odp_zainteresowanie_turniej” w skoroszycie." type="5" refreshedVersion="6" background="1" saveData="1">
    <dbPr connection="Provider=Microsoft.Mashup.OleDb.1;Data Source=$Workbook$;Location=przech_odp_zainteresowanie_turniej;Extended Properties=&quot;&quot;" command="SELECT * FROM [przech_odp_zainteresowanie_turniej]"/>
  </connection>
  <connection id="14" xr16:uid="{C0DD5A73-E7DD-4A4D-B5CB-D4F3FD3BD104}" keepAlive="1" name="Zapytanie — wydzial" description="Połączenie z zapytaniem „wydzial” w skoroszycie." type="5" refreshedVersion="6" background="1" saveData="1">
    <dbPr connection="Provider=Microsoft.Mashup.OleDb.1;Data Source=$Workbook$;Location=wydzial;Extended Properties=&quot;&quot;" command="SELECT * FROM [wydzial]"/>
  </connection>
  <connection id="15" xr16:uid="{464F9174-2FCB-4B38-B41C-BCD68D91D08B}" keepAlive="1" name="Zapytanie — Wyniki_ankiety" description="Połączenie z zapytaniem „Wyniki_ankiety” w skoroszycie." type="5" refreshedVersion="6" background="1" saveData="1">
    <dbPr connection="Provider=Microsoft.Mashup.OleDb.1;Data Source=$Workbook$;Location=Wyniki_ankiety;Extended Properties=&quot;&quot;" command="SELECT * FROM [Wyniki_ankiety]"/>
  </connection>
  <connection id="16" xr16:uid="{2463EC7F-4954-4E59-92FB-11CC4B055FEB}" keepAlive="1" name="Zapytanie — zainteresowanie_esport" description="Połączenie z zapytaniem „zainteresowanie_esport” w skoroszycie." type="5" refreshedVersion="6" background="1" saveData="1">
    <dbPr connection="Provider=Microsoft.Mashup.OleDb.1;Data Source=$Workbook$;Location=zainteresowanie_esport;Extended Properties=&quot;&quot;" command="SELECT * FROM [zainteresowanie_esport]"/>
  </connection>
  <connection id="17" xr16:uid="{7617F3DA-E401-4EE9-98E4-CC25ABD883E1}" keepAlive="1" name="Zapytanie — zainteresowanie_turniej" description="Połączenie z zapytaniem „zainteresowanie_turniej” w skoroszycie." type="5" refreshedVersion="6" background="1" saveData="1">
    <dbPr connection="Provider=Microsoft.Mashup.OleDb.1;Data Source=$Workbook$;Location=zainteresowanie_turniej;Extended Properties=&quot;&quot;" command="SELECT * FROM [zainteresowanie_turniej]"/>
  </connection>
</connections>
</file>

<file path=xl/sharedStrings.xml><?xml version="1.0" encoding="utf-8"?>
<sst xmlns="http://schemas.openxmlformats.org/spreadsheetml/2006/main" count="3300" uniqueCount="219">
  <si>
    <t>Sygnatura czasowa</t>
  </si>
  <si>
    <t>Płeć</t>
  </si>
  <si>
    <t>Wiek</t>
  </si>
  <si>
    <t>Wydział</t>
  </si>
  <si>
    <t>Nie gram w nic regularnie</t>
  </si>
  <si>
    <t>Nie interesuje się e-sportem</t>
  </si>
  <si>
    <t>Nie interesowałoby mnie to</t>
  </si>
  <si>
    <t>Nie dotyczy</t>
  </si>
  <si>
    <t>Mężczyzna</t>
  </si>
  <si>
    <t>League of legends</t>
  </si>
  <si>
    <t>Chciałbym/chciałabym uczestniczyć w imprezie (np. na Auli) gdzie prowadzone byłby rozgrywki</t>
  </si>
  <si>
    <t>Miałbym/miałabym całą drużynę do League of legends</t>
  </si>
  <si>
    <t>Nie wiem co to e-sport</t>
  </si>
  <si>
    <t>Kobieta</t>
  </si>
  <si>
    <t>Quake Live</t>
  </si>
  <si>
    <t>Oglądałbym/oglądałabym livestream z rozgrywek, Chciałbym/chciałabym uczestniczyć w imprezie (np. na Auli) gdzie prowadzone byłby rozgrywki</t>
  </si>
  <si>
    <t>Counter-Strike: Global Offensive, Quake Live</t>
  </si>
  <si>
    <t>Nie miałbym/miałabym drużyny do Counter-Strike: Global Offensive</t>
  </si>
  <si>
    <t>Hearthstone, League of legends, Counter-Strike: Global Offensive</t>
  </si>
  <si>
    <t>League of legends, Counter-Strike: Global Offensive</t>
  </si>
  <si>
    <t>Miałbym/miałabym całą drużynę do League of legends, Miałbym/miałabym całą drużynę do Counter-Strike: Global Offensive</t>
  </si>
  <si>
    <t>Śledziłbym/śledziłabym wyniki, Oglądałbym/oglądałabym livestream z rozgrywek, Chciałbym/chciałabym uczestniczyć w imprezie (np. na Auli) gdzie prowadzone byłby rozgrywki</t>
  </si>
  <si>
    <t>League of legends, Heroes of Might and Magic 3</t>
  </si>
  <si>
    <t>Miałbym/miałabym część drużyny do League of legends, Miałbym/miałabym część drużyny do Counter-Strike: Global Offensive</t>
  </si>
  <si>
    <t>Crypt of Necrodancer</t>
  </si>
  <si>
    <t>Śledziłbym/śledziłabym wyniki</t>
  </si>
  <si>
    <t>Hearthstone</t>
  </si>
  <si>
    <t>Zarządzania</t>
  </si>
  <si>
    <t>Overwatch</t>
  </si>
  <si>
    <t>Nie miałbym/miałabym drużyny do Overwatch</t>
  </si>
  <si>
    <t>Counter-Strike: Global Offensive</t>
  </si>
  <si>
    <t>Miałbym/miałabym część drużyny do Counter-Strike: Global Offensive</t>
  </si>
  <si>
    <t>Hearthstone, League of legends</t>
  </si>
  <si>
    <t>Dota 2</t>
  </si>
  <si>
    <t>Miałbym/miałabym całą drużynę do Counter-Strike: Global Offensive, Miałbym/miałabym część drużyny do Counter-Strike: Global Offensive</t>
  </si>
  <si>
    <t>Overwatch, Hearthstone</t>
  </si>
  <si>
    <t>Miałbym/miałabym całą drużynę do Overwatch</t>
  </si>
  <si>
    <t>Miałbym/miałabym część drużyny do Overwatch</t>
  </si>
  <si>
    <t>Starcraft 2</t>
  </si>
  <si>
    <t>Overwatch, League of legends, Counter-Strike: Global Offensive</t>
  </si>
  <si>
    <t>Miałbym/miałabym część drużyny do Overwatch, Miałbym/miałabym część drużyny do League of legends, Miałbym/miałabym część drużyny do Counter-Strike: Global Offensive</t>
  </si>
  <si>
    <t>Śledziłbym/śledziłabym wyniki, Oglądałbym/oglądałabym livestream z rozgrywek</t>
  </si>
  <si>
    <t>Śledziłbym/śledziłabym wyniki, Chciałbym/chciałabym uczestniczyć w imprezie (np. na Auli) gdzie prowadzone byłby rozgrywki</t>
  </si>
  <si>
    <t>Miałbym/miałabym część drużyny do League of legends</t>
  </si>
  <si>
    <t>Overwatch, Hearthstone, Counter-Strike: Global Offensive</t>
  </si>
  <si>
    <t>Gwint</t>
  </si>
  <si>
    <t>Hearthstone, Gwint</t>
  </si>
  <si>
    <t>Oglądałbym/oglądałabym livestream z rozgrywek</t>
  </si>
  <si>
    <t>FIFA</t>
  </si>
  <si>
    <t>Miałbym/miałabym całą drużynę do Counter-Strike: Global Offensive</t>
  </si>
  <si>
    <t>Factorio</t>
  </si>
  <si>
    <t>Fizyki</t>
  </si>
  <si>
    <t>World of Warcraft</t>
  </si>
  <si>
    <t>Heroes of the Storm</t>
  </si>
  <si>
    <t>Overwatch, Hearthstone, League of legends</t>
  </si>
  <si>
    <t>Overwatch, League of legends</t>
  </si>
  <si>
    <t>Psychologii</t>
  </si>
  <si>
    <t>Heroes of the Storm, StarCraft 2</t>
  </si>
  <si>
    <t>Geologii</t>
  </si>
  <si>
    <t>Wiedźmin, Star Wars Battlefront</t>
  </si>
  <si>
    <t>Overwatch, Counter-Strike: Global Offensive</t>
  </si>
  <si>
    <t xml:space="preserve">FIFA </t>
  </si>
  <si>
    <t>Pedagogiczny</t>
  </si>
  <si>
    <t>Hearthstone, Counter-Strike: Global Offensive</t>
  </si>
  <si>
    <t>Miałbym/miałabym część drużyny do Overwatch, Nie miałbym/miałabym drużyny do Counter-Strike: Global Offensive</t>
  </si>
  <si>
    <t>Rocket League</t>
  </si>
  <si>
    <t>Orientalistyczny</t>
  </si>
  <si>
    <t>Hearthstone, World of Warcraft, Gwint</t>
  </si>
  <si>
    <t>Nie miałbym/miałabym drużyny do Overwatch, Miałbym/miałabym całą drużynę do Counter-Strike: Global Offensive</t>
  </si>
  <si>
    <t>Nauk Politycznych i Stosunków Międzynarodowych</t>
  </si>
  <si>
    <t>Counter-Strike: Global Offensive, Rocket League</t>
  </si>
  <si>
    <t>League of legends, Counter-Strike: Global Offensive, Rocket League</t>
  </si>
  <si>
    <t>Miałbym/miałabym całą drużynę do League of legends, Miałbym/miałabym część drużyny do Counter-Strike: Global Offensive</t>
  </si>
  <si>
    <t>Overwatch, Hearthstone, Team Fortress 2</t>
  </si>
  <si>
    <t>Team Fortress 2, Tekken Tag Tournament 2</t>
  </si>
  <si>
    <t>World of Tanks</t>
  </si>
  <si>
    <t>Nauk Ekonomicznych</t>
  </si>
  <si>
    <t>Hearthstone, Dota 2</t>
  </si>
  <si>
    <t>Miałbym/miałabym całą drużynę do Overwatch, Miałbym/miałabym całą drużynę do League of legends</t>
  </si>
  <si>
    <t>Neofilologii</t>
  </si>
  <si>
    <t>Nie miałbym/miałabym drużyny do Overwatch, Nie miałbym/miałabym drużyny do Counter-Strike: Global Offensive</t>
  </si>
  <si>
    <t>PES</t>
  </si>
  <si>
    <t>Overwatch, Hearthstone, Heroes of the Storm</t>
  </si>
  <si>
    <t>Dziennikarstwa, Informacji i Bibliologii</t>
  </si>
  <si>
    <t>Nie interesuje się e-sportem, Nie wiem co to e-sport</t>
  </si>
  <si>
    <t>Germanistyki</t>
  </si>
  <si>
    <t>Gry regularne</t>
  </si>
  <si>
    <t>Zainteresowanie e-sport</t>
  </si>
  <si>
    <t>Zainteresowanie turniej</t>
  </si>
  <si>
    <t>Gry turniej</t>
  </si>
  <si>
    <t>Drużyny</t>
  </si>
  <si>
    <t>Heroes of Might and Magic 3</t>
  </si>
  <si>
    <t xml:space="preserve">Dota 2, Paladins  </t>
  </si>
  <si>
    <t>Counter-Strike: Global Offensive, Starcraft 2</t>
  </si>
  <si>
    <t>Wiedźmin</t>
  </si>
  <si>
    <t>TrackMania Nations Forever</t>
  </si>
  <si>
    <t>Hearthstone, League of legends, Counter-Strike: Global Offensive, Call of Duty, Battlefield, FIFA</t>
  </si>
  <si>
    <t>League of legends, Call of Duty, FIFA, Mortal Kombat</t>
  </si>
  <si>
    <t>League of legends, Counter-Strike: Global Offensive, Heroes of Might and Magic 3</t>
  </si>
  <si>
    <t>Hearthstone, League of legends, Counter-Strike: Global Offensive, Starcraft 2</t>
  </si>
  <si>
    <t>FIFA, F1 2016, NHL</t>
  </si>
  <si>
    <t xml:space="preserve">League of legends, Starcraft 2 </t>
  </si>
  <si>
    <t>Counter-Strike: Global Offensive, FIFA</t>
  </si>
  <si>
    <t>Overwatch, League of legends, XCOM, Warhammer 40000: Dawn of War II</t>
  </si>
  <si>
    <t>Overwatch, Hearthstone, Dota 2, Diablo III</t>
  </si>
  <si>
    <t>Rocket League, Tom Clancy’s Rainbow Six Siege</t>
  </si>
  <si>
    <t>Hearthstone, FIFA</t>
  </si>
  <si>
    <t>Starcraft 2, The Elder Scrolls V: Skyrim</t>
  </si>
  <si>
    <t>Hearthstone, Battlefield</t>
  </si>
  <si>
    <t>Counter-Strike: Global Offensive, H1Z1: King of the Kill</t>
  </si>
  <si>
    <t>Counter-Strike: Global Offensive, Heroes of the Storm</t>
  </si>
  <si>
    <t>Call of Duty</t>
  </si>
  <si>
    <t>Starcraft 2, Heroes of the Storm</t>
  </si>
  <si>
    <t>Heroes of Might and Magic 3, Heroes of Might and Magic 5</t>
  </si>
  <si>
    <t>Call of Duty, Battlefield</t>
  </si>
  <si>
    <t>FIFA, F1 2016</t>
  </si>
  <si>
    <t>FIFA, Tom Clancy’s Rainbow Six Siege</t>
  </si>
  <si>
    <t>Counter-Strike: Global Offensive, Gran Turismo, Assetto Corsa</t>
  </si>
  <si>
    <t>H1Z1: King of the Kill</t>
  </si>
  <si>
    <t>Counter-Strike: Global Offensive, Battlefield</t>
  </si>
  <si>
    <t>Miałbym/miałabym całą drużynę do Dota 2</t>
  </si>
  <si>
    <t>Nie miałbym/miałabym drużyny do Call of Duty</t>
  </si>
  <si>
    <t>Nie miałbym/miałabym drużyny do League of legends</t>
  </si>
  <si>
    <t>Nie miałbym/miałabym drużyny do League of legends, Nie miałbym/miałabym drużyny do Counter-Strike: Global Offensive</t>
  </si>
  <si>
    <t>Nie miałbym/miałabym drużyny do League of legends, Miałbym/miałabym część drużyny do Counter-Strike: Global Offensive</t>
  </si>
  <si>
    <t>Miałbym/miałabym część drużyny do League of legends, Nie miałbym/miałabym drużyny do League of legends</t>
  </si>
  <si>
    <t>Nie miałbym/miałabym drużyny do Overwatch, Nie miałbym/miałabym drużyny do League of legends</t>
  </si>
  <si>
    <t>Miałbym/miałabym całą drużynę do Heroes of Might and Magic 3, Miałbym/miałabym całą drużynę do Heroes of Might and Magic 5</t>
  </si>
  <si>
    <t>Miałbym/miałabym całą drużynę do World of Warcraft</t>
  </si>
  <si>
    <t>Nie miałbym/miałabym drużyny do Heros of the Storm</t>
  </si>
  <si>
    <t>Miałbym/miałabym część drużyny do Dota 2</t>
  </si>
  <si>
    <t>Miałbym/miałabym całą drużynę do Overwatch, Miałbym/miałabym całą drużynę do League of legends, Nie miałbym/miałabym drużyny do Counter-Strike: Global Offensive</t>
  </si>
  <si>
    <t>Nie miałabym/miałabym drużyny do Heroes of the Storm</t>
  </si>
  <si>
    <t>Nie miałbym/miałabym drużyny do Dota 2</t>
  </si>
  <si>
    <t>Nie miałbym/miałabym drużyny do Call of Duty, Nie miałbym/miałabym drużyny do Battlefield</t>
  </si>
  <si>
    <t>Miałbym/miałabym część drużyny do League of legends, Miałbym/miałabym część drużyny do Counter-Strike: Global Offensive, Nie miałbym/miałabym drużyny do Counter-Strike: Global Offensive</t>
  </si>
  <si>
    <t>Miałbym/miałabym całą drużynę do Rocket League</t>
  </si>
  <si>
    <t>Miałbym/miałabym część drużyny do Counter-Strike: Global Offensive, Miałbym/miałabym część drużyny do Rocket League</t>
  </si>
  <si>
    <t>Miałbym/miałabym część drużyny do Tom Clancy’s Rainbow Six Siege</t>
  </si>
  <si>
    <t>Nie miałbym/miałabym drużyny do Team Fortress 2, Nie miałbym/miałabym drużyny do Tekken Tag Tournament 2</t>
  </si>
  <si>
    <t>Miałbym/miałabym całą drużynę do H1Z1: King of the Kill</t>
  </si>
  <si>
    <t>Matematyki, Informatyki i Mechaniki</t>
  </si>
  <si>
    <t>Chemii</t>
  </si>
  <si>
    <t>Biologii</t>
  </si>
  <si>
    <t>Polonistyki</t>
  </si>
  <si>
    <t>Lingwistyki Stosowanej</t>
  </si>
  <si>
    <t>Prawa i Administracji</t>
  </si>
  <si>
    <t>Centrum Studiów Latynoamerykańskich </t>
  </si>
  <si>
    <t>Instytut Historyczny</t>
  </si>
  <si>
    <t>Instytut Komunikacji Specjalistycznej i Interkulturowej</t>
  </si>
  <si>
    <t>Instytut Lingwistyki Stosowanej</t>
  </si>
  <si>
    <t>Instytut Nauk Politycznych</t>
  </si>
  <si>
    <t>Instytut Profilaktyki Społecznej i Resocjalizacji</t>
  </si>
  <si>
    <t>Międzywydziałowe Indywidualne Studia Matematyczno-Przyrodnicze</t>
  </si>
  <si>
    <t>Ośrodek Studiów Amerykańskich</t>
  </si>
  <si>
    <t>Uniwersyteckie Kolegium Kształcenia Nauczycieli Języka Angielskiego</t>
  </si>
  <si>
    <t>Uniwersyteckie Kolegium Kształcenia Nauczycieli Języka Francuskiego</t>
  </si>
  <si>
    <t>Dziennikarstwa i Nauk Politycznych</t>
  </si>
  <si>
    <t>Geografii i Studiów Regionalnych</t>
  </si>
  <si>
    <t>Stosowanych Nauk Społecznych i Resocjalizacji</t>
  </si>
  <si>
    <t>Instytut Anglistyki</t>
  </si>
  <si>
    <t>Instytut Archeologii </t>
  </si>
  <si>
    <t>Filozofii i Socjologii</t>
  </si>
  <si>
    <t>Battlefield, Wiedźmin, Call of Duty, NFS</t>
  </si>
  <si>
    <t xml:space="preserve">Paladins  </t>
  </si>
  <si>
    <t>XCOM</t>
  </si>
  <si>
    <t>The Elder Scrolls V: Skyrim</t>
  </si>
  <si>
    <t>Star Wars Battlefront</t>
  </si>
  <si>
    <t>Battlefield</t>
  </si>
  <si>
    <t>Gran Turismo</t>
  </si>
  <si>
    <t>Tom Clancy’s Rainbow Six Siege</t>
  </si>
  <si>
    <t>F1 2016</t>
  </si>
  <si>
    <t>NHL</t>
  </si>
  <si>
    <t>Team Fortress 2</t>
  </si>
  <si>
    <t>Tak oglądam livestreamy z rozgrywek</t>
  </si>
  <si>
    <t>Tak śledzę wyniki drużyn e-sportowych</t>
  </si>
  <si>
    <t>Nie śledzę za często wyników lub livestreamów z rozgrywek ale wiem co to esport</t>
  </si>
  <si>
    <t>Czy podał mail</t>
  </si>
  <si>
    <t>Tak śledzę wyniki drużyn e-sportowych, Tak oglądam livestreamy z rozgrywek</t>
  </si>
  <si>
    <t>Nie śledzę za często wyników lub livestreamów z rozgrywek ale wiem co to esport, Nie interesuje się e-sportem</t>
  </si>
  <si>
    <t>Tak oglądam livestreamy z rozgrywek, Nie śledzę za często wyników lub livestreamów z rozgrywek ale wiem co to esport</t>
  </si>
  <si>
    <t>Tak śledzę wyniki drużyn e-sportowych, Nie śledzę za często wyników lub livestreamów z rozgrywek ale wiem co to esport</t>
  </si>
  <si>
    <t>Czy udział</t>
  </si>
  <si>
    <t>Diablo III</t>
  </si>
  <si>
    <t>Mortal Kombat</t>
  </si>
  <si>
    <t>NFS</t>
  </si>
  <si>
    <t>Warhammer 40000: Dawn of War II</t>
  </si>
  <si>
    <t>Assetto Corsa</t>
  </si>
  <si>
    <t>Heroes of Might and Magic 5</t>
  </si>
  <si>
    <t>StarCraft 2</t>
  </si>
  <si>
    <t>Tekken Tag Tournament 2</t>
  </si>
  <si>
    <t>Miałbym/miałabym całą drużynę do Heroes of Might and Magic 3</t>
  </si>
  <si>
    <t>Miałbym/miałabym całą drużynę do Heroes of Might and Magic 5</t>
  </si>
  <si>
    <t>Miałbym/miałabym część drużyny do Rocket League</t>
  </si>
  <si>
    <t>Nie miałbym/miałabym drużyny do Battlefield</t>
  </si>
  <si>
    <t>Nie miałbym/miałabym drużyny do Team Fortress 2</t>
  </si>
  <si>
    <t>Nie miałbym/miałabym drużyny do Tekken Tag Tournament 2</t>
  </si>
  <si>
    <t>id_plec</t>
  </si>
  <si>
    <t>id_wydzial</t>
  </si>
  <si>
    <t>id_odp</t>
  </si>
  <si>
    <t>id_turniej</t>
  </si>
  <si>
    <t>id_druzyna</t>
  </si>
  <si>
    <t>odpowiedz</t>
  </si>
  <si>
    <t>id_zainteresowanie_esport</t>
  </si>
  <si>
    <t>czy_udzial</t>
  </si>
  <si>
    <t>wiek</t>
  </si>
  <si>
    <t>czy_mail</t>
  </si>
  <si>
    <t>id_przech_odp_regularne_gry</t>
  </si>
  <si>
    <t>id_przech_odp_zainteresowanie_esport</t>
  </si>
  <si>
    <t>d_przech_odp_zainteresowanie_turniej</t>
  </si>
  <si>
    <t>plec</t>
  </si>
  <si>
    <t>id_zainteresowanie_turniej</t>
  </si>
  <si>
    <t>d_druzyny</t>
  </si>
  <si>
    <t>nazwa_wydzialu</t>
  </si>
  <si>
    <t>id_gry_regularne</t>
  </si>
  <si>
    <t>id_przech_odp_druzyny</t>
  </si>
  <si>
    <t>id_gry_turniejowe</t>
  </si>
  <si>
    <t>id_przech_odp_gry_turniejowe</t>
  </si>
  <si>
    <t>tytul_gry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</si>
</sst>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4" x14ac:knownFonts="1">
    <font>
      <sz val="10"/>
      <color rgb="FF000000"/>
      <name val="Arial"/>
    </font>
    <font>
      <sz val="10"/>
      <name val="Arial"/>
      <family val="2"/>
      <charset val="238"/>
    </font>
    <font>
      <b/>
      <sz val="10"/>
      <color rgb="FF000000"/>
      <name val="Arial"/>
      <family val="2"/>
      <charset val="238"/>
    </font>
    <font>
      <sz val="10"/>
      <color rgb="FF000000"/>
      <name val="Arial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0" fillId="2" borderId="0" xfId="0" applyFont="1" applyFill="1" applyAlignment="1"/>
    <xf numFmtId="0" fontId="2" fillId="0" borderId="4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0" fillId="0" borderId="0" xfId="0" applyFont="1" applyFill="1" applyAlignment="1"/>
    <xf numFmtId="164" fontId="1" fillId="0" borderId="3" xfId="0" applyNumberFormat="1" applyFont="1" applyFill="1" applyBorder="1" applyAlignment="1"/>
    <xf numFmtId="0" fontId="1" fillId="0" borderId="1" xfId="0" applyFont="1" applyFill="1" applyBorder="1" applyAlignment="1"/>
    <xf numFmtId="0" fontId="0" fillId="0" borderId="1" xfId="0" applyFill="1" applyBorder="1"/>
    <xf numFmtId="164" fontId="1" fillId="0" borderId="6" xfId="0" applyNumberFormat="1" applyFont="1" applyFill="1" applyBorder="1" applyAlignment="1"/>
    <xf numFmtId="0" fontId="1" fillId="0" borderId="2" xfId="0" applyFont="1" applyFill="1" applyBorder="1" applyAlignment="1"/>
    <xf numFmtId="0" fontId="0" fillId="0" borderId="0" xfId="0" applyNumberFormat="1" applyFont="1" applyAlignment="1"/>
    <xf numFmtId="0" fontId="3" fillId="0" borderId="0" xfId="0" applyFont="1" applyAlignment="1"/>
    <xf numFmtId="0" fontId="1" fillId="0" borderId="5" xfId="0" applyFont="1" applyFill="1" applyBorder="1" applyAlignment="1"/>
  </cellXfs>
  <cellStyles count="1">
    <cellStyle name="Normalny" xfId="0" builtinId="0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164" formatCode="m/d/yyyy\ h:mm:ss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microsoft.com/office/2006/relationships/vbaProject" Target="vbaProject.bin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4" connectionId="9" xr16:uid="{C8A688A9-8FD0-4A07-B34D-991A64B4E990}" autoFormatId="16" applyNumberFormats="0" applyBorderFormats="0" applyFontFormats="0" applyPatternFormats="0" applyAlignmentFormats="0" applyWidthHeightFormats="0">
  <queryTableRefresh nextId="6">
    <queryTableFields count="4">
      <queryTableField id="1" name="Drużyny" tableColumnId="1"/>
      <queryTableField id="4" dataBound="0" tableColumnId="4"/>
      <queryTableField id="2" name="id_odp" tableColumnId="2"/>
      <queryTableField id="5" name="id_przech_odp_druzyny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2" connectionId="13" xr16:uid="{B5AB3DB4-AD22-4B79-9172-B26544A3BC6D}" autoFormatId="16" applyNumberFormats="0" applyBorderFormats="0" applyFontFormats="0" applyPatternFormats="0" applyAlignmentFormats="0" applyWidthHeightFormats="0">
  <queryTableRefresh nextId="6">
    <queryTableFields count="4">
      <queryTableField id="1" name="Zainteresowanie turniej" tableColumnId="1"/>
      <queryTableField id="4" dataBound="0" tableColumnId="4"/>
      <queryTableField id="2" name="id_odp" tableColumnId="2"/>
      <queryTableField id="5" name="d_przech_odp_zainteresowanie_turniej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1" connectionId="12" xr16:uid="{7A81223E-4F06-412A-B06B-DB85591E6139}" autoFormatId="16" applyNumberFormats="0" applyBorderFormats="0" applyFontFormats="0" applyPatternFormats="0" applyAlignmentFormats="0" applyWidthHeightFormats="0">
  <queryTableRefresh nextId="7">
    <queryTableFields count="4">
      <queryTableField id="1" name="Zainteresowanie e-sport" tableColumnId="1"/>
      <queryTableField id="4" dataBound="0" tableColumnId="4"/>
      <queryTableField id="5" name="id_odp" tableColumnId="2"/>
      <queryTableField id="6" name="id_przech_odp_zainteresowanie_esport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3" connectionId="11" xr16:uid="{158B17CB-F9AA-4294-9E0F-57910B8E27CB}" autoFormatId="16" applyNumberFormats="0" applyBorderFormats="0" applyFontFormats="0" applyPatternFormats="0" applyAlignmentFormats="0" applyWidthHeightFormats="0">
  <queryTableRefresh nextId="7">
    <queryTableFields count="4">
      <queryTableField id="1" name="Gry turniej" tableColumnId="1"/>
      <queryTableField id="4" dataBound="0" tableColumnId="4"/>
      <queryTableField id="2" name="id_odp" tableColumnId="2"/>
      <queryTableField id="6" name="id_przech_odp_gry_turniejowe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0" connectionId="10" xr16:uid="{6E90ED57-CDAB-407D-8E48-DA237BB192F5}" autoFormatId="16" applyNumberFormats="0" applyBorderFormats="0" applyFontFormats="0" applyPatternFormats="0" applyAlignmentFormats="0" applyWidthHeightFormats="0">
  <queryTableRefresh nextId="6">
    <queryTableFields count="4">
      <queryTableField id="1" name="Gry regularne" tableColumnId="1"/>
      <queryTableField id="4" dataBound="0" tableColumnId="4"/>
      <queryTableField id="2" name="id_odp" tableColumnId="2"/>
      <queryTableField id="5" name="id_przech_odp_regularne_gry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9" connectionId="7" xr16:uid="{83E84C11-6832-4683-9850-376661B386D1}" autoFormatId="16" applyNumberFormats="0" applyBorderFormats="0" applyFontFormats="0" applyPatternFormats="0" applyAlignmentFormats="0" applyWidthHeightFormats="0">
  <queryTableRefresh nextId="17">
    <queryTableFields count="8">
      <queryTableField id="10" name="id_odp" tableColumnId="1"/>
      <queryTableField id="7" dataBound="0" tableColumnId="7"/>
      <queryTableField id="11" name="czy_udzial" tableColumnId="2"/>
      <queryTableField id="3" name="Płeć" tableColumnId="3"/>
      <queryTableField id="8" dataBound="0" tableColumnId="8"/>
      <queryTableField id="4" name="Wiek" tableColumnId="4"/>
      <queryTableField id="5" name="Wydział" tableColumnId="5"/>
      <queryTableField id="12" name="czy_mail" tableColumnId="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8" connectionId="14" xr16:uid="{903DB0CB-5E3E-45CC-8484-29B78B6FACE6}" autoFormatId="16" applyNumberFormats="0" applyBorderFormats="0" applyFontFormats="0" applyPatternFormats="0" applyAlignmentFormats="0" applyWidthHeightFormats="0">
  <queryTableRefresh nextId="5">
    <queryTableFields count="2">
      <queryTableField id="3" name="nazwa_wydzialu" tableColumnId="1"/>
      <queryTableField id="4" name="id_wydzial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7" connectionId="8" xr16:uid="{A47E2D44-7D9E-4FCF-AFD7-BC570C7597A8}" autoFormatId="16" applyNumberFormats="0" applyBorderFormats="0" applyFontFormats="0" applyPatternFormats="0" applyAlignmentFormats="0" applyWidthHeightFormats="0">
  <queryTableRefresh nextId="4">
    <queryTableFields count="2">
      <queryTableField id="1" name="Plec" tableColumnId="1"/>
      <queryTableField id="3" name="id_plec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connectionId="4" xr16:uid="{A5360E03-27A9-4B69-BF5E-DD38AC65DAB7}" autoFormatId="16" applyNumberFormats="0" applyBorderFormats="0" applyFontFormats="0" applyPatternFormats="0" applyAlignmentFormats="0" applyWidthHeightFormats="0">
  <queryTableRefresh nextId="4">
    <queryTableFields count="2">
      <queryTableField id="1" name="Odpowiedz" tableColumnId="1"/>
      <queryTableField id="3" name="d_druzyny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4" connectionId="17" xr16:uid="{B5B2CE17-3BFF-4243-933F-08620B952A6E}" autoFormatId="16" applyNumberFormats="0" applyBorderFormats="0" applyFontFormats="0" applyPatternFormats="0" applyAlignmentFormats="0" applyWidthHeightFormats="0">
  <queryTableRefresh nextId="4">
    <queryTableFields count="2">
      <queryTableField id="1" name="Odpowiedz" tableColumnId="1"/>
      <queryTableField id="3" name="id_zainteresowanie_turniej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3" connectionId="16" xr16:uid="{0C709273-9625-462F-AEE4-A23F62CB60A4}" autoFormatId="16" applyNumberFormats="0" applyBorderFormats="0" applyFontFormats="0" applyPatternFormats="0" applyAlignmentFormats="0" applyWidthHeightFormats="0">
  <queryTableRefresh nextId="4">
    <queryTableFields count="2">
      <queryTableField id="1" name="Odpowiedz" tableColumnId="1"/>
      <queryTableField id="3" name="id_zainteresowanie_esport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7" connectionId="6" xr16:uid="{6913F720-E955-429F-9C1F-ADB1C61DBB0A}" autoFormatId="16" applyNumberFormats="0" applyBorderFormats="0" applyFontFormats="0" applyPatternFormats="0" applyAlignmentFormats="0" applyWidthHeightFormats="0">
  <queryTableRefresh nextId="8">
    <queryTableFields count="2">
      <queryTableField id="6" name="tytul_gry" tableColumnId="1"/>
      <queryTableField id="5" name="id_gry_turniejowe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connectionId="5" xr16:uid="{705E3418-7FFB-406D-9A89-CF1A2577C95C}" autoFormatId="16" applyNumberFormats="0" applyBorderFormats="0" applyFontFormats="0" applyPatternFormats="0" applyAlignmentFormats="0" applyWidthHeightFormats="0">
  <queryTableRefresh nextId="7">
    <queryTableFields count="2">
      <queryTableField id="5" name="tytul_gry" tableColumnId="1"/>
      <queryTableField id="4" name="id_gry_regularn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AACD532-923F-437A-8061-36AB73B5B7EE}" name="przech_odp_druzyny" displayName="przech_odp_druzyny" ref="A1:D232" tableType="queryTable" totalsRowShown="0">
  <autoFilter ref="A1:D232" xr:uid="{A0F7EC5F-342F-4BEB-B3EF-A8113A1C4B8A}"/>
  <tableColumns count="4">
    <tableColumn id="1" xr3:uid="{3ABEFA53-4333-4F7B-8AA2-C2C4306D2ED7}" uniqueName="1" name="Drużyny" queryTableFieldId="1" dataDxfId="34"/>
    <tableColumn id="4" xr3:uid="{1F0B9D21-6C0B-4092-9BF4-296F687223B7}" uniqueName="4" name="id_druzyna" queryTableFieldId="4" dataDxfId="33">
      <calculatedColumnFormula>VLOOKUP(przech_odp_druzyny[[#This Row],[Drużyny]],druzyny!A:C,2)</calculatedColumnFormula>
    </tableColumn>
    <tableColumn id="2" xr3:uid="{ABBA0616-8CD5-49B8-B2DA-12CE757478A2}" uniqueName="2" name="id_odp" queryTableFieldId="2"/>
    <tableColumn id="3" xr3:uid="{8A8FEFE9-F9D8-43F2-A1E3-CFAA62B967D4}" uniqueName="3" name="id_przech_odp_druzyny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E98D9D1-9AEB-4045-8EA4-BE47FFBA6093}" name="przech_odp_zainteresowanie_turniej" displayName="przech_odp_zainteresowanie_turniej" ref="A1:D302" tableType="queryTable" totalsRowShown="0">
  <autoFilter ref="A1:D302" xr:uid="{C6A256E7-1215-414B-803C-7C4761AF3004}"/>
  <tableColumns count="4">
    <tableColumn id="1" xr3:uid="{2EA2D51C-F0E9-44B2-AFAC-018E47BC3AB3}" uniqueName="1" name="Zainteresowanie turniej" queryTableFieldId="1" dataDxfId="32"/>
    <tableColumn id="4" xr3:uid="{A45A7BE0-1826-454E-8651-FF78FAF88EDD}" uniqueName="4" name="id_turniej" queryTableFieldId="4" dataDxfId="31">
      <calculatedColumnFormula>VLOOKUP(przech_odp_zainteresowanie_turniej[[#This Row],[Zainteresowanie turniej]],zainteresowanie_turniej!A:C,2)</calculatedColumnFormula>
    </tableColumn>
    <tableColumn id="2" xr3:uid="{0943F99F-86D4-4EE6-8CEC-616F888329F3}" uniqueName="2" name="id_odp" queryTableFieldId="2"/>
    <tableColumn id="3" xr3:uid="{1CE7AF5E-F5B8-4ED7-B299-9A12D0151D84}" uniqueName="3" name="d_przech_odp_zainteresowanie_turniej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1E463D6-2737-4691-BDEC-25D74D71E166}" name="przech_odp_zainteresowanie_esport" displayName="przech_odp_zainteresowanie_esport" ref="A1:D247" tableType="queryTable" totalsRowShown="0">
  <autoFilter ref="A1:D247" xr:uid="{AD3D4E2C-8D4B-4365-BADA-83BF881FABE9}"/>
  <tableColumns count="4">
    <tableColumn id="1" xr3:uid="{F5EC616B-12AA-4137-B63A-3E94FF871207}" uniqueName="1" name="Zainteresowanie e-sport" queryTableFieldId="1" dataDxfId="30"/>
    <tableColumn id="4" xr3:uid="{AB1D25DA-DD97-43A6-AB22-CBC69352C3E7}" uniqueName="4" name="id_zainteresowanie_esport" queryTableFieldId="4" dataDxfId="29">
      <calculatedColumnFormula>VLOOKUP(przech_odp_zainteresowanie_esport[[#This Row],[Zainteresowanie e-sport]],zainteresowanie_esport!A:C,2)</calculatedColumnFormula>
    </tableColumn>
    <tableColumn id="2" xr3:uid="{ABEA1394-012C-47E1-9EC4-7B91480DA0C1}" uniqueName="2" name="id_odp" queryTableFieldId="5"/>
    <tableColumn id="3" xr3:uid="{B96F9DE1-1A61-45C3-9941-B65518B0FC91}" uniqueName="3" name="id_przech_odp_zainteresowanie_esport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56B8C7B-2BB9-484D-AA65-26CB86FDE285}" name="przech_odp_gry_turniejowe" displayName="przech_odp_gry_turniejowe" ref="A1:D261" tableType="queryTable" totalsRowShown="0">
  <autoFilter ref="A1:D261" xr:uid="{4B9D1CFD-AC3B-4840-81F3-11A9DC7C7ACF}"/>
  <tableColumns count="4">
    <tableColumn id="1" xr3:uid="{94DE07B5-F63F-4228-B9FA-BDBD79502209}" uniqueName="1" name="Gry turniej" queryTableFieldId="1" dataDxfId="28"/>
    <tableColumn id="4" xr3:uid="{C3A4C799-B1C8-4C77-AC17-BD4F7D9DA4E3}" uniqueName="4" name="id_gry_turniejowe" queryTableFieldId="4" dataDxfId="27">
      <calculatedColumnFormula>VLOOKUP(przech_odp_gry_turniejowe[[#This Row],[Gry turniej]],gry_turniejowe[],2)</calculatedColumnFormula>
    </tableColumn>
    <tableColumn id="2" xr3:uid="{2FAC32D3-421E-453D-B093-5AC0D6B5C605}" uniqueName="2" name="id_odp" queryTableFieldId="2"/>
    <tableColumn id="5" xr3:uid="{2A5F28C4-8629-4A4D-B085-1B2E7CD8E379}" uniqueName="5" name="id_przech_odp_gry_turniejowe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6E50C5-475E-4E1C-9A48-1DDA5877AEDC}" name="przech_odp_gry_regularne" displayName="przech_odp_gry_regularne" ref="A1:D281" tableType="queryTable" totalsRowShown="0">
  <autoFilter ref="A1:D281" xr:uid="{D4B3F773-A486-42DD-85C2-07FCB8094116}"/>
  <tableColumns count="4">
    <tableColumn id="1" xr3:uid="{C9C5BFB2-7F9D-4B0A-B696-44BEB7201284}" uniqueName="1" name="Gry regularne" queryTableFieldId="1" dataDxfId="26"/>
    <tableColumn id="4" xr3:uid="{23E49224-2EA8-4B86-AC76-A81BEDA915BC}" uniqueName="4" name="id_gry_regularne" queryTableFieldId="4" dataDxfId="25">
      <calculatedColumnFormula>VLOOKUP(przech_odp_gry_regularne[[#This Row],[Gry regularne]],gry_regularne[],2)</calculatedColumnFormula>
    </tableColumn>
    <tableColumn id="2" xr3:uid="{D044585F-4955-4867-BA6B-89363DC1EDB4}" uniqueName="2" name="id_odp" queryTableFieldId="2"/>
    <tableColumn id="3" xr3:uid="{2CA15E2B-E701-4E93-99F0-200C9984FCA6}" uniqueName="3" name="id_przech_odp_regularne_gry" queryTableField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3786DF4-E103-422F-B229-9AA7D37FBD90}" name="odpowiedzi" displayName="odpowiedzi" ref="A1:H200" tableType="queryTable" totalsRowShown="0">
  <autoFilter ref="A1:H200" xr:uid="{8235F30E-737F-4F4A-B921-6D2C9F4FA8EE}"/>
  <tableColumns count="8">
    <tableColumn id="1" xr3:uid="{5D5A3E95-4CD7-4838-9153-BB00851D082B}" uniqueName="1" name="id_odp" queryTableFieldId="10"/>
    <tableColumn id="7" xr3:uid="{F6BC6DD2-F711-4E38-9682-6F475CF9EB13}" uniqueName="7" name="id_plec" queryTableFieldId="7" dataDxfId="24">
      <calculatedColumnFormula>VLOOKUP(odpowiedzi[[#This Row],[Płeć]],plec[],2)</calculatedColumnFormula>
    </tableColumn>
    <tableColumn id="2" xr3:uid="{16436190-38BE-435B-8509-9DACC70C1939}" uniqueName="2" name="czy_udzial" queryTableFieldId="11"/>
    <tableColumn id="3" xr3:uid="{6E6BE822-4411-43D0-945A-D8235FF23ABA}" uniqueName="3" name="Płeć" queryTableFieldId="3" dataDxfId="23"/>
    <tableColumn id="8" xr3:uid="{2A55409E-F384-4B8A-8D96-D71CB1D3BF34}" uniqueName="8" name="id_wydzial" queryTableFieldId="8" dataDxfId="22">
      <calculatedColumnFormula>VLOOKUP(odpowiedzi[[#This Row],[Wydział]],wydzial[],2)</calculatedColumnFormula>
    </tableColumn>
    <tableColumn id="4" xr3:uid="{23E4685A-78DD-4285-8B4F-C3B5EA55A105}" uniqueName="4" name="wiek" queryTableFieldId="4"/>
    <tableColumn id="5" xr3:uid="{E9583EB0-D03D-4223-A52E-057B599C878A}" uniqueName="5" name="Wydział" queryTableFieldId="5" dataDxfId="21"/>
    <tableColumn id="6" xr3:uid="{8610C4A4-4474-4033-B62D-12F56705637A}" uniqueName="6" name="czy_mail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E5A3DAA-19B3-4288-9CA1-C655F27CB5F9}" name="wydzial" displayName="wydzial" ref="A1:B34" tableType="queryTable" totalsRowShown="0">
  <autoFilter ref="A1:B34" xr:uid="{BF404D1E-2255-4D11-84EE-C07EAB76F157}"/>
  <sortState ref="A2:B34">
    <sortCondition ref="A1:A34"/>
  </sortState>
  <tableColumns count="2">
    <tableColumn id="1" xr3:uid="{DD139B14-9BD0-4F63-8003-FDC43B02903D}" uniqueName="1" name="nazwa_wydzialu" queryTableFieldId="3"/>
    <tableColumn id="2" xr3:uid="{7A3F8952-27B3-4760-A7A8-138BC50C1E9A}" uniqueName="2" name="id_wydzial" queryTableFieldId="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5DF545-4AA1-45AD-AC7D-89CB5D41B107}" name="plec" displayName="plec" ref="A1:B3" tableType="queryTable" totalsRowShown="0">
  <autoFilter ref="A1:B3" xr:uid="{A7A6E4E9-5367-4422-9AAB-9682C4B09201}"/>
  <sortState ref="A2:B3">
    <sortCondition ref="A1:A3"/>
  </sortState>
  <tableColumns count="2">
    <tableColumn id="1" xr3:uid="{FB2C129D-DE5D-42B2-87E0-4C87984FAE15}" uniqueName="1" name="plec" queryTableFieldId="1"/>
    <tableColumn id="2" xr3:uid="{C2859661-0110-48C5-9D2C-15F98D62D5C0}" uniqueName="2" name="id_plec" queryTableField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2C16121-4FC1-45EB-A76F-4FB056AA8952}" name="druzyny" displayName="druzyny" ref="A1:B27" tableType="queryTable" totalsRowShown="0">
  <autoFilter ref="A1:B27" xr:uid="{CB6B2B9E-B2D4-4AC4-B416-0586E75141BE}"/>
  <sortState ref="A2:B27">
    <sortCondition ref="A1:A27"/>
  </sortState>
  <tableColumns count="2">
    <tableColumn id="1" xr3:uid="{9043D106-425F-4EC0-B279-DE057E75FE0E}" uniqueName="1" name="odpowiedz" queryTableFieldId="1" dataDxfId="20"/>
    <tableColumn id="2" xr3:uid="{05A24C00-94EE-4E05-B585-3EA4593788AB}" uniqueName="2" name="d_druzyny" queryTableFieldId="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1536A72-1C86-4723-969B-42B3A2AD12CE}" name="zainteresowanie_turniej" displayName="zainteresowanie_turniej" ref="A1:B5" tableType="queryTable" totalsRowShown="0">
  <autoFilter ref="A1:B5" xr:uid="{4102594C-22CD-4E47-83B5-9CD5ABEDBD28}"/>
  <sortState ref="A2:B5">
    <sortCondition ref="A1:A5"/>
  </sortState>
  <tableColumns count="2">
    <tableColumn id="1" xr3:uid="{9F1B7B54-BCCB-47EA-9D6F-ACFE24B71E7A}" uniqueName="1" name="odpowiedz" queryTableFieldId="1" dataDxfId="19"/>
    <tableColumn id="2" xr3:uid="{14A2DF8B-4CB3-4368-8464-9F112D9819D2}" uniqueName="2" name="id_zainteresowanie_turniej" queryTableField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DAED23E-AEAD-46DC-8330-8774CA63ACEB}" name="zainteresowanie_esport" displayName="zainteresowanie_esport" ref="A1:B6" tableType="queryTable" totalsRowShown="0">
  <autoFilter ref="A1:B6" xr:uid="{38332946-F87F-4C44-8CC8-13342B9DA24B}"/>
  <sortState ref="A2:B6">
    <sortCondition ref="A1:A6"/>
  </sortState>
  <tableColumns count="2">
    <tableColumn id="1" xr3:uid="{67844628-445F-434F-9F04-6FEB43819B74}" uniqueName="1" name="odpowiedz" queryTableFieldId="1" dataDxfId="18"/>
    <tableColumn id="2" xr3:uid="{CEA92880-B3EB-446F-861C-7A4990F170FF}" uniqueName="2" name="id_zainteresowanie_esport" queryTableFieldId="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C0B40D2-18C3-48F0-A8A5-FCCB5EAAD2AC}" name="gry_turniejowe" displayName="gry_turniejowe" ref="A1:B32" tableType="queryTable" totalsRowShown="0">
  <autoFilter ref="A1:B32" xr:uid="{626DC849-A432-426D-9CED-3F1E90F77D16}"/>
  <sortState ref="A2:B32">
    <sortCondition ref="A1:A32"/>
  </sortState>
  <tableColumns count="2">
    <tableColumn id="1" xr3:uid="{E9FA1018-99C2-45A7-9C32-5FE5A83DD7AB}" uniqueName="1" name="tytul_gry" queryTableFieldId="6" dataDxfId="17"/>
    <tableColumn id="3" xr3:uid="{E889DC11-4829-4A6C-A6EF-4C149E9DD9D3}" uniqueName="3" name="id_gry_turniejowe" queryTableFieldId="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F4ECD2C-31CD-44B9-90C4-9260FDC378A6}" name="gry_regularne" displayName="gry_regularne" ref="A1:B38" tableType="queryTable" totalsRowShown="0">
  <autoFilter ref="A1:B38" xr:uid="{68C34645-6084-4ECA-B6F5-60E5727E8F94}"/>
  <sortState ref="A2:B38">
    <sortCondition ref="A1:A38"/>
  </sortState>
  <tableColumns count="2">
    <tableColumn id="1" xr3:uid="{70BF688B-0EC4-42B6-AF82-9E31F2D21827}" uniqueName="1" name="tytul_gry" queryTableFieldId="5" dataDxfId="16"/>
    <tableColumn id="2" xr3:uid="{FE006E49-98A2-407E-BE2B-3DCFD9AA5DC8}" uniqueName="2" name="id_gry_regularne" queryTableFieldId="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5A4F6B-3B8A-4E6E-975E-DA106DCCE873}" name="Wyniki_ankiety" displayName="Wyniki_ankiety" ref="A1:K200" totalsRowShown="0" headerRowDxfId="15" dataDxfId="13" headerRowBorderDxfId="14" tableBorderDxfId="12" totalsRowBorderDxfId="11">
  <autoFilter ref="A1:K200" xr:uid="{DD546168-E593-4BF5-A99F-927892818A84}"/>
  <tableColumns count="11">
    <tableColumn id="1" xr3:uid="{C006F9EB-245C-4F26-B3A4-FC0A8D8479DA}" name="Sygnatura czasowa" dataDxfId="10"/>
    <tableColumn id="2" xr3:uid="{39A6E3C7-1EEC-4088-B449-BD4BC1599E54}" name="Gry regularne" dataDxfId="9"/>
    <tableColumn id="3" xr3:uid="{C358CA49-21AD-43FC-B806-B08D72A93D83}" name="Zainteresowanie e-sport" dataDxfId="8"/>
    <tableColumn id="4" xr3:uid="{D47170AC-8087-43F6-B912-6B65E4EF5127}" name="Zainteresowanie turniej" dataDxfId="7"/>
    <tableColumn id="14" xr3:uid="{74430D14-E0BA-4437-B87A-03552E941C74}" name="Czy udział" dataDxfId="6"/>
    <tableColumn id="6" xr3:uid="{25046F7E-05B1-4040-8605-BEE27E4DA670}" name="Gry turniej" dataDxfId="5"/>
    <tableColumn id="7" xr3:uid="{E12A29FD-702D-4039-9012-1411DEE58AA6}" name="Drużyny" dataDxfId="4"/>
    <tableColumn id="8" xr3:uid="{F593EC5C-B2DB-47E6-9B12-C05161C53243}" name="Płeć" dataDxfId="3"/>
    <tableColumn id="9" xr3:uid="{F695BB34-2771-4B94-BD2C-4577027EE968}" name="Wiek" dataDxfId="2"/>
    <tableColumn id="10" xr3:uid="{934FA93F-9D29-4B0E-8033-9B9DE0E698FA}" name="Wydział" dataDxfId="1"/>
    <tableColumn id="13" xr3:uid="{6F9F04D3-AFE9-4025-A6A7-0AC9E74D6A8E}" name="Czy podał mail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8F8AB-13AE-47DD-83A6-92678AA38728}">
  <sheetPr codeName="Arkusz1"/>
  <dimension ref="A1:D232"/>
  <sheetViews>
    <sheetView tabSelected="1" workbookViewId="0">
      <selection activeCell="A137" sqref="A137"/>
    </sheetView>
  </sheetViews>
  <sheetFormatPr defaultRowHeight="12.75" x14ac:dyDescent="0.2"/>
  <cols>
    <col min="1" max="1" width="61.5703125" bestFit="1" customWidth="1"/>
    <col min="2" max="2" width="13.28515625" bestFit="1" customWidth="1"/>
    <col min="3" max="3" width="9.42578125" bestFit="1" customWidth="1"/>
    <col min="4" max="4" width="25.140625" bestFit="1" customWidth="1"/>
  </cols>
  <sheetData>
    <row r="1" spans="1:4" x14ac:dyDescent="0.2">
      <c r="A1" t="s">
        <v>90</v>
      </c>
      <c r="B1" s="11" t="s">
        <v>201</v>
      </c>
      <c r="C1" t="s">
        <v>199</v>
      </c>
      <c r="D1" t="s">
        <v>215</v>
      </c>
    </row>
    <row r="2" spans="1:4" x14ac:dyDescent="0.2">
      <c r="A2" s="10" t="s">
        <v>17</v>
      </c>
      <c r="B2" s="10">
        <f>VLOOKUP(przech_odp_druzyny[[#This Row],[Drużyny]],druzyny!A:C,2)</f>
        <v>20</v>
      </c>
      <c r="C2">
        <v>1</v>
      </c>
      <c r="D2">
        <v>1</v>
      </c>
    </row>
    <row r="3" spans="1:4" x14ac:dyDescent="0.2">
      <c r="A3" s="10" t="s">
        <v>122</v>
      </c>
      <c r="B3" s="10">
        <f>VLOOKUP(przech_odp_druzyny[[#This Row],[Drużyny]],druzyny!A:C,2)</f>
        <v>23</v>
      </c>
      <c r="C3">
        <v>2</v>
      </c>
      <c r="D3">
        <v>2</v>
      </c>
    </row>
    <row r="4" spans="1:4" x14ac:dyDescent="0.2">
      <c r="A4" s="10" t="s">
        <v>43</v>
      </c>
      <c r="B4" s="10">
        <f>VLOOKUP(przech_odp_druzyny[[#This Row],[Drużyny]],druzyny!A:C,2)</f>
        <v>12</v>
      </c>
      <c r="C4">
        <v>3</v>
      </c>
      <c r="D4">
        <v>3</v>
      </c>
    </row>
    <row r="5" spans="1:4" x14ac:dyDescent="0.2">
      <c r="A5" s="10" t="s">
        <v>31</v>
      </c>
      <c r="B5" s="10">
        <f>VLOOKUP(przech_odp_druzyny[[#This Row],[Drużyny]],druzyny!A:C,2)</f>
        <v>10</v>
      </c>
      <c r="C5">
        <v>3</v>
      </c>
      <c r="D5">
        <v>4</v>
      </c>
    </row>
    <row r="6" spans="1:4" x14ac:dyDescent="0.2">
      <c r="A6" s="10" t="s">
        <v>17</v>
      </c>
      <c r="B6" s="10">
        <f>VLOOKUP(przech_odp_druzyny[[#This Row],[Drużyny]],druzyny!A:C,2)</f>
        <v>20</v>
      </c>
      <c r="C6">
        <v>3</v>
      </c>
      <c r="D6">
        <v>5</v>
      </c>
    </row>
    <row r="7" spans="1:4" x14ac:dyDescent="0.2">
      <c r="A7" s="10" t="s">
        <v>7</v>
      </c>
      <c r="B7" s="10">
        <f>VLOOKUP(przech_odp_druzyny[[#This Row],[Drużyny]],druzyny!A:C,2)</f>
        <v>16</v>
      </c>
      <c r="C7">
        <v>4</v>
      </c>
      <c r="D7">
        <v>6</v>
      </c>
    </row>
    <row r="8" spans="1:4" x14ac:dyDescent="0.2">
      <c r="A8" s="10" t="s">
        <v>43</v>
      </c>
      <c r="B8" s="10">
        <f>VLOOKUP(przech_odp_druzyny[[#This Row],[Drużyny]],druzyny!A:C,2)</f>
        <v>12</v>
      </c>
      <c r="C8">
        <v>5</v>
      </c>
      <c r="D8">
        <v>7</v>
      </c>
    </row>
    <row r="9" spans="1:4" x14ac:dyDescent="0.2">
      <c r="A9" s="10" t="s">
        <v>17</v>
      </c>
      <c r="B9" s="10">
        <f>VLOOKUP(przech_odp_druzyny[[#This Row],[Drużyny]],druzyny!A:C,2)</f>
        <v>20</v>
      </c>
      <c r="C9">
        <v>6</v>
      </c>
      <c r="D9">
        <v>8</v>
      </c>
    </row>
    <row r="10" spans="1:4" x14ac:dyDescent="0.2">
      <c r="A10" s="10" t="s">
        <v>122</v>
      </c>
      <c r="B10" s="10">
        <f>VLOOKUP(przech_odp_druzyny[[#This Row],[Drużyny]],druzyny!A:C,2)</f>
        <v>23</v>
      </c>
      <c r="C10">
        <v>7</v>
      </c>
      <c r="D10">
        <v>9</v>
      </c>
    </row>
    <row r="11" spans="1:4" x14ac:dyDescent="0.2">
      <c r="A11" s="10" t="s">
        <v>7</v>
      </c>
      <c r="B11" s="10">
        <f>VLOOKUP(przech_odp_druzyny[[#This Row],[Drużyny]],druzyny!A:C,2)</f>
        <v>16</v>
      </c>
      <c r="C11">
        <v>8</v>
      </c>
      <c r="D11">
        <v>10</v>
      </c>
    </row>
    <row r="12" spans="1:4" x14ac:dyDescent="0.2">
      <c r="A12" s="10" t="s">
        <v>122</v>
      </c>
      <c r="B12" s="10">
        <f>VLOOKUP(przech_odp_druzyny[[#This Row],[Drużyny]],druzyny!A:C,2)</f>
        <v>23</v>
      </c>
      <c r="C12">
        <v>9</v>
      </c>
      <c r="D12">
        <v>11</v>
      </c>
    </row>
    <row r="13" spans="1:4" x14ac:dyDescent="0.2">
      <c r="A13" s="10" t="s">
        <v>17</v>
      </c>
      <c r="B13" s="10">
        <f>VLOOKUP(przech_odp_druzyny[[#This Row],[Drużyny]],druzyny!A:C,2)</f>
        <v>20</v>
      </c>
      <c r="C13">
        <v>9</v>
      </c>
      <c r="D13">
        <v>12</v>
      </c>
    </row>
    <row r="14" spans="1:4" x14ac:dyDescent="0.2">
      <c r="A14" s="10" t="s">
        <v>133</v>
      </c>
      <c r="B14" s="10">
        <f>VLOOKUP(przech_odp_druzyny[[#This Row],[Drużyny]],druzyny!A:C,2)</f>
        <v>21</v>
      </c>
      <c r="C14">
        <v>10</v>
      </c>
      <c r="D14">
        <v>13</v>
      </c>
    </row>
    <row r="15" spans="1:4" x14ac:dyDescent="0.2">
      <c r="A15" s="10" t="s">
        <v>29</v>
      </c>
      <c r="B15" s="10">
        <f>VLOOKUP(przech_odp_druzyny[[#This Row],[Drużyny]],druzyny!A:C,2)</f>
        <v>24</v>
      </c>
      <c r="C15">
        <v>11</v>
      </c>
      <c r="D15">
        <v>14</v>
      </c>
    </row>
    <row r="16" spans="1:4" x14ac:dyDescent="0.2">
      <c r="A16" s="10" t="s">
        <v>43</v>
      </c>
      <c r="B16" s="10">
        <f>VLOOKUP(przech_odp_druzyny[[#This Row],[Drużyny]],druzyny!A:C,2)</f>
        <v>12</v>
      </c>
      <c r="C16">
        <v>12</v>
      </c>
      <c r="D16">
        <v>15</v>
      </c>
    </row>
    <row r="17" spans="1:4" x14ac:dyDescent="0.2">
      <c r="A17" s="10" t="s">
        <v>191</v>
      </c>
      <c r="B17" s="10">
        <f>VLOOKUP(przech_odp_druzyny[[#This Row],[Drużyny]],druzyny!A:C,2)</f>
        <v>4</v>
      </c>
      <c r="C17">
        <v>13</v>
      </c>
      <c r="D17">
        <v>16</v>
      </c>
    </row>
    <row r="18" spans="1:4" x14ac:dyDescent="0.2">
      <c r="A18" s="10" t="s">
        <v>192</v>
      </c>
      <c r="B18" s="10">
        <f>VLOOKUP(przech_odp_druzyny[[#This Row],[Drużyny]],druzyny!A:C,2)</f>
        <v>5</v>
      </c>
      <c r="C18">
        <v>13</v>
      </c>
      <c r="D18">
        <v>17</v>
      </c>
    </row>
    <row r="19" spans="1:4" x14ac:dyDescent="0.2">
      <c r="A19" s="10" t="s">
        <v>133</v>
      </c>
      <c r="B19" s="10">
        <f>VLOOKUP(przech_odp_druzyny[[#This Row],[Drużyny]],druzyny!A:C,2)</f>
        <v>21</v>
      </c>
      <c r="C19">
        <v>14</v>
      </c>
      <c r="D19">
        <v>18</v>
      </c>
    </row>
    <row r="20" spans="1:4" x14ac:dyDescent="0.2">
      <c r="A20" s="10" t="s">
        <v>7</v>
      </c>
      <c r="B20" s="10">
        <f>VLOOKUP(przech_odp_druzyny[[#This Row],[Drużyny]],druzyny!A:C,2)</f>
        <v>16</v>
      </c>
      <c r="C20">
        <v>15</v>
      </c>
      <c r="D20">
        <v>19</v>
      </c>
    </row>
    <row r="21" spans="1:4" x14ac:dyDescent="0.2">
      <c r="A21" s="10" t="s">
        <v>122</v>
      </c>
      <c r="B21" s="10">
        <f>VLOOKUP(przech_odp_druzyny[[#This Row],[Drużyny]],druzyny!A:C,2)</f>
        <v>23</v>
      </c>
      <c r="C21">
        <v>16</v>
      </c>
      <c r="D21">
        <v>20</v>
      </c>
    </row>
    <row r="22" spans="1:4" x14ac:dyDescent="0.2">
      <c r="A22" s="10" t="s">
        <v>7</v>
      </c>
      <c r="B22" s="10">
        <f>VLOOKUP(przech_odp_druzyny[[#This Row],[Drużyny]],druzyny!A:C,2)</f>
        <v>16</v>
      </c>
      <c r="C22">
        <v>17</v>
      </c>
      <c r="D22">
        <v>21</v>
      </c>
    </row>
    <row r="23" spans="1:4" x14ac:dyDescent="0.2">
      <c r="A23" s="10" t="s">
        <v>7</v>
      </c>
      <c r="B23" s="10">
        <f>VLOOKUP(przech_odp_druzyny[[#This Row],[Drużyny]],druzyny!A:C,2)</f>
        <v>16</v>
      </c>
      <c r="C23">
        <v>18</v>
      </c>
      <c r="D23">
        <v>22</v>
      </c>
    </row>
    <row r="24" spans="1:4" x14ac:dyDescent="0.2">
      <c r="A24" s="10" t="s">
        <v>7</v>
      </c>
      <c r="B24" s="10">
        <f>VLOOKUP(przech_odp_druzyny[[#This Row],[Drużyny]],druzyny!A:C,2)</f>
        <v>16</v>
      </c>
      <c r="C24">
        <v>19</v>
      </c>
      <c r="D24">
        <v>23</v>
      </c>
    </row>
    <row r="25" spans="1:4" x14ac:dyDescent="0.2">
      <c r="A25" s="10" t="s">
        <v>7</v>
      </c>
      <c r="B25" s="10">
        <f>VLOOKUP(przech_odp_druzyny[[#This Row],[Drużyny]],druzyny!A:C,2)</f>
        <v>16</v>
      </c>
      <c r="C25">
        <v>20</v>
      </c>
      <c r="D25">
        <v>24</v>
      </c>
    </row>
    <row r="26" spans="1:4" x14ac:dyDescent="0.2">
      <c r="A26" s="10" t="s">
        <v>43</v>
      </c>
      <c r="B26" s="10">
        <f>VLOOKUP(przech_odp_druzyny[[#This Row],[Drużyny]],druzyny!A:C,2)</f>
        <v>12</v>
      </c>
      <c r="C26">
        <v>21</v>
      </c>
      <c r="D26">
        <v>25</v>
      </c>
    </row>
    <row r="27" spans="1:4" x14ac:dyDescent="0.2">
      <c r="A27" s="10" t="s">
        <v>122</v>
      </c>
      <c r="B27" s="10">
        <f>VLOOKUP(przech_odp_druzyny[[#This Row],[Drużyny]],druzyny!A:C,2)</f>
        <v>23</v>
      </c>
      <c r="C27">
        <v>22</v>
      </c>
      <c r="D27">
        <v>26</v>
      </c>
    </row>
    <row r="28" spans="1:4" x14ac:dyDescent="0.2">
      <c r="A28" s="10" t="s">
        <v>7</v>
      </c>
      <c r="B28" s="10">
        <f>VLOOKUP(przech_odp_druzyny[[#This Row],[Drużyny]],druzyny!A:C,2)</f>
        <v>16</v>
      </c>
      <c r="C28">
        <v>23</v>
      </c>
      <c r="D28">
        <v>27</v>
      </c>
    </row>
    <row r="29" spans="1:4" x14ac:dyDescent="0.2">
      <c r="A29" s="10" t="s">
        <v>11</v>
      </c>
      <c r="B29" s="10">
        <f>VLOOKUP(przech_odp_druzyny[[#This Row],[Drużyny]],druzyny!A:C,2)</f>
        <v>6</v>
      </c>
      <c r="C29">
        <v>24</v>
      </c>
      <c r="D29">
        <v>28</v>
      </c>
    </row>
    <row r="30" spans="1:4" x14ac:dyDescent="0.2">
      <c r="A30" s="10" t="s">
        <v>49</v>
      </c>
      <c r="B30" s="10">
        <f>VLOOKUP(przech_odp_druzyny[[#This Row],[Drużyny]],druzyny!A:C,2)</f>
        <v>1</v>
      </c>
      <c r="C30">
        <v>24</v>
      </c>
      <c r="D30">
        <v>29</v>
      </c>
    </row>
    <row r="31" spans="1:4" x14ac:dyDescent="0.2">
      <c r="A31" s="10" t="s">
        <v>31</v>
      </c>
      <c r="B31" s="10">
        <f>VLOOKUP(przech_odp_druzyny[[#This Row],[Drużyny]],druzyny!A:C,2)</f>
        <v>10</v>
      </c>
      <c r="C31">
        <v>25</v>
      </c>
      <c r="D31">
        <v>30</v>
      </c>
    </row>
    <row r="32" spans="1:4" x14ac:dyDescent="0.2">
      <c r="A32" s="10" t="s">
        <v>7</v>
      </c>
      <c r="B32" s="10">
        <f>VLOOKUP(przech_odp_druzyny[[#This Row],[Drużyny]],druzyny!A:C,2)</f>
        <v>16</v>
      </c>
      <c r="C32">
        <v>26</v>
      </c>
      <c r="D32">
        <v>31</v>
      </c>
    </row>
    <row r="33" spans="1:4" x14ac:dyDescent="0.2">
      <c r="A33" s="10" t="s">
        <v>43</v>
      </c>
      <c r="B33" s="10">
        <f>VLOOKUP(przech_odp_druzyny[[#This Row],[Drużyny]],druzyny!A:C,2)</f>
        <v>12</v>
      </c>
      <c r="C33">
        <v>27</v>
      </c>
      <c r="D33">
        <v>32</v>
      </c>
    </row>
    <row r="34" spans="1:4" x14ac:dyDescent="0.2">
      <c r="A34" s="10" t="s">
        <v>49</v>
      </c>
      <c r="B34" s="10">
        <f>VLOOKUP(przech_odp_druzyny[[#This Row],[Drużyny]],druzyny!A:C,2)</f>
        <v>1</v>
      </c>
      <c r="C34">
        <v>28</v>
      </c>
      <c r="D34">
        <v>33</v>
      </c>
    </row>
    <row r="35" spans="1:4" x14ac:dyDescent="0.2">
      <c r="A35" s="10" t="s">
        <v>7</v>
      </c>
      <c r="B35" s="10">
        <f>VLOOKUP(przech_odp_druzyny[[#This Row],[Drużyny]],druzyny!A:C,2)</f>
        <v>16</v>
      </c>
      <c r="C35">
        <v>29</v>
      </c>
      <c r="D35">
        <v>34</v>
      </c>
    </row>
    <row r="36" spans="1:4" x14ac:dyDescent="0.2">
      <c r="A36" s="10" t="s">
        <v>17</v>
      </c>
      <c r="B36" s="10">
        <f>VLOOKUP(przech_odp_druzyny[[#This Row],[Drużyny]],druzyny!A:C,2)</f>
        <v>20</v>
      </c>
      <c r="C36">
        <v>30</v>
      </c>
      <c r="D36">
        <v>35</v>
      </c>
    </row>
    <row r="37" spans="1:4" x14ac:dyDescent="0.2">
      <c r="A37" s="10" t="s">
        <v>7</v>
      </c>
      <c r="B37" s="10">
        <f>VLOOKUP(przech_odp_druzyny[[#This Row],[Drużyny]],druzyny!A:C,2)</f>
        <v>16</v>
      </c>
      <c r="C37">
        <v>31</v>
      </c>
      <c r="D37">
        <v>36</v>
      </c>
    </row>
    <row r="38" spans="1:4" x14ac:dyDescent="0.2">
      <c r="A38" s="10" t="s">
        <v>132</v>
      </c>
      <c r="B38" s="10">
        <f>VLOOKUP(przech_odp_druzyny[[#This Row],[Drużyny]],druzyny!A:C,2)</f>
        <v>17</v>
      </c>
      <c r="C38">
        <v>32</v>
      </c>
      <c r="D38">
        <v>37</v>
      </c>
    </row>
    <row r="39" spans="1:4" x14ac:dyDescent="0.2">
      <c r="A39" s="10" t="s">
        <v>17</v>
      </c>
      <c r="B39" s="10">
        <f>VLOOKUP(przech_odp_druzyny[[#This Row],[Drużyny]],druzyny!A:C,2)</f>
        <v>20</v>
      </c>
      <c r="C39">
        <v>33</v>
      </c>
      <c r="D39">
        <v>38</v>
      </c>
    </row>
    <row r="40" spans="1:4" x14ac:dyDescent="0.2">
      <c r="A40" s="10" t="s">
        <v>29</v>
      </c>
      <c r="B40" s="10">
        <f>VLOOKUP(przech_odp_druzyny[[#This Row],[Drużyny]],druzyny!A:C,2)</f>
        <v>24</v>
      </c>
      <c r="C40">
        <v>34</v>
      </c>
      <c r="D40">
        <v>39</v>
      </c>
    </row>
    <row r="41" spans="1:4" x14ac:dyDescent="0.2">
      <c r="A41" s="10" t="s">
        <v>17</v>
      </c>
      <c r="B41" s="10">
        <f>VLOOKUP(przech_odp_druzyny[[#This Row],[Drużyny]],druzyny!A:C,2)</f>
        <v>20</v>
      </c>
      <c r="C41">
        <v>34</v>
      </c>
      <c r="D41">
        <v>40</v>
      </c>
    </row>
    <row r="42" spans="1:4" x14ac:dyDescent="0.2">
      <c r="A42" s="10" t="s">
        <v>43</v>
      </c>
      <c r="B42" s="10">
        <f>VLOOKUP(przech_odp_druzyny[[#This Row],[Drużyny]],druzyny!A:C,2)</f>
        <v>12</v>
      </c>
      <c r="C42">
        <v>35</v>
      </c>
      <c r="D42">
        <v>41</v>
      </c>
    </row>
    <row r="43" spans="1:4" x14ac:dyDescent="0.2">
      <c r="A43" s="10" t="s">
        <v>7</v>
      </c>
      <c r="B43" s="10">
        <f>VLOOKUP(przech_odp_druzyny[[#This Row],[Drużyny]],druzyny!A:C,2)</f>
        <v>16</v>
      </c>
      <c r="C43">
        <v>36</v>
      </c>
      <c r="D43">
        <v>42</v>
      </c>
    </row>
    <row r="44" spans="1:4" x14ac:dyDescent="0.2">
      <c r="A44" s="10" t="s">
        <v>122</v>
      </c>
      <c r="B44" s="10">
        <f>VLOOKUP(przech_odp_druzyny[[#This Row],[Drużyny]],druzyny!A:C,2)</f>
        <v>23</v>
      </c>
      <c r="C44">
        <v>37</v>
      </c>
      <c r="D44">
        <v>43</v>
      </c>
    </row>
    <row r="45" spans="1:4" x14ac:dyDescent="0.2">
      <c r="A45" s="10" t="s">
        <v>122</v>
      </c>
      <c r="B45" s="10">
        <f>VLOOKUP(przech_odp_druzyny[[#This Row],[Drużyny]],druzyny!A:C,2)</f>
        <v>23</v>
      </c>
      <c r="C45">
        <v>38</v>
      </c>
      <c r="D45">
        <v>44</v>
      </c>
    </row>
    <row r="46" spans="1:4" x14ac:dyDescent="0.2">
      <c r="A46" s="10" t="s">
        <v>43</v>
      </c>
      <c r="B46" s="10">
        <f>VLOOKUP(przech_odp_druzyny[[#This Row],[Drużyny]],druzyny!A:C,2)</f>
        <v>12</v>
      </c>
      <c r="C46">
        <v>39</v>
      </c>
      <c r="D46">
        <v>45</v>
      </c>
    </row>
    <row r="47" spans="1:4" x14ac:dyDescent="0.2">
      <c r="A47" s="10" t="s">
        <v>31</v>
      </c>
      <c r="B47" s="10">
        <f>VLOOKUP(przech_odp_druzyny[[#This Row],[Drużyny]],druzyny!A:C,2)</f>
        <v>10</v>
      </c>
      <c r="C47">
        <v>39</v>
      </c>
      <c r="D47">
        <v>46</v>
      </c>
    </row>
    <row r="48" spans="1:4" x14ac:dyDescent="0.2">
      <c r="A48" s="10" t="s">
        <v>31</v>
      </c>
      <c r="B48" s="10">
        <f>VLOOKUP(przech_odp_druzyny[[#This Row],[Drużyny]],druzyny!A:C,2)</f>
        <v>10</v>
      </c>
      <c r="C48">
        <v>40</v>
      </c>
      <c r="D48">
        <v>47</v>
      </c>
    </row>
    <row r="49" spans="1:4" x14ac:dyDescent="0.2">
      <c r="A49" s="10" t="s">
        <v>49</v>
      </c>
      <c r="B49" s="10">
        <f>VLOOKUP(przech_odp_druzyny[[#This Row],[Drużyny]],druzyny!A:C,2)</f>
        <v>1</v>
      </c>
      <c r="C49">
        <v>41</v>
      </c>
      <c r="D49">
        <v>48</v>
      </c>
    </row>
    <row r="50" spans="1:4" x14ac:dyDescent="0.2">
      <c r="A50" s="10" t="s">
        <v>120</v>
      </c>
      <c r="B50" s="10">
        <f>VLOOKUP(przech_odp_druzyny[[#This Row],[Drużyny]],druzyny!A:C,2)</f>
        <v>2</v>
      </c>
      <c r="C50">
        <v>42</v>
      </c>
      <c r="D50">
        <v>49</v>
      </c>
    </row>
    <row r="51" spans="1:4" x14ac:dyDescent="0.2">
      <c r="A51" s="10" t="s">
        <v>31</v>
      </c>
      <c r="B51" s="10">
        <f>VLOOKUP(przech_odp_druzyny[[#This Row],[Drużyny]],druzyny!A:C,2)</f>
        <v>10</v>
      </c>
      <c r="C51">
        <v>43</v>
      </c>
      <c r="D51">
        <v>50</v>
      </c>
    </row>
    <row r="52" spans="1:4" x14ac:dyDescent="0.2">
      <c r="A52" s="10" t="s">
        <v>7</v>
      </c>
      <c r="B52" s="10">
        <f>VLOOKUP(przech_odp_druzyny[[#This Row],[Drużyny]],druzyny!A:C,2)</f>
        <v>16</v>
      </c>
      <c r="C52">
        <v>44</v>
      </c>
      <c r="D52">
        <v>51</v>
      </c>
    </row>
    <row r="53" spans="1:4" x14ac:dyDescent="0.2">
      <c r="A53" s="10" t="s">
        <v>7</v>
      </c>
      <c r="B53" s="10">
        <f>VLOOKUP(przech_odp_druzyny[[#This Row],[Drużyny]],druzyny!A:C,2)</f>
        <v>16</v>
      </c>
      <c r="C53">
        <v>45</v>
      </c>
      <c r="D53">
        <v>52</v>
      </c>
    </row>
    <row r="54" spans="1:4" x14ac:dyDescent="0.2">
      <c r="A54" s="10" t="s">
        <v>128</v>
      </c>
      <c r="B54" s="10">
        <f>VLOOKUP(przech_odp_druzyny[[#This Row],[Drużyny]],druzyny!A:C,2)</f>
        <v>9</v>
      </c>
      <c r="C54">
        <v>46</v>
      </c>
      <c r="D54">
        <v>53</v>
      </c>
    </row>
    <row r="55" spans="1:4" x14ac:dyDescent="0.2">
      <c r="A55" s="10" t="s">
        <v>129</v>
      </c>
      <c r="B55" s="10">
        <f>VLOOKUP(przech_odp_druzyny[[#This Row],[Drużyny]],druzyny!A:C,2)</f>
        <v>22</v>
      </c>
      <c r="C55">
        <v>47</v>
      </c>
      <c r="D55">
        <v>54</v>
      </c>
    </row>
    <row r="56" spans="1:4" x14ac:dyDescent="0.2">
      <c r="A56" s="10" t="s">
        <v>7</v>
      </c>
      <c r="B56" s="10">
        <f>VLOOKUP(przech_odp_druzyny[[#This Row],[Drużyny]],druzyny!A:C,2)</f>
        <v>16</v>
      </c>
      <c r="C56">
        <v>48</v>
      </c>
      <c r="D56">
        <v>55</v>
      </c>
    </row>
    <row r="57" spans="1:4" x14ac:dyDescent="0.2">
      <c r="A57" s="10" t="s">
        <v>7</v>
      </c>
      <c r="B57" s="10">
        <f>VLOOKUP(przech_odp_druzyny[[#This Row],[Drużyny]],druzyny!A:C,2)</f>
        <v>16</v>
      </c>
      <c r="C57">
        <v>49</v>
      </c>
      <c r="D57">
        <v>56</v>
      </c>
    </row>
    <row r="58" spans="1:4" x14ac:dyDescent="0.2">
      <c r="A58" s="10" t="s">
        <v>17</v>
      </c>
      <c r="B58" s="10">
        <f>VLOOKUP(przech_odp_druzyny[[#This Row],[Drużyny]],druzyny!A:C,2)</f>
        <v>20</v>
      </c>
      <c r="C58">
        <v>50</v>
      </c>
      <c r="D58">
        <v>57</v>
      </c>
    </row>
    <row r="59" spans="1:4" x14ac:dyDescent="0.2">
      <c r="A59" s="10" t="s">
        <v>29</v>
      </c>
      <c r="B59" s="10">
        <f>VLOOKUP(przech_odp_druzyny[[#This Row],[Drużyny]],druzyny!A:C,2)</f>
        <v>24</v>
      </c>
      <c r="C59">
        <v>51</v>
      </c>
      <c r="D59">
        <v>58</v>
      </c>
    </row>
    <row r="60" spans="1:4" x14ac:dyDescent="0.2">
      <c r="A60" s="10" t="s">
        <v>122</v>
      </c>
      <c r="B60" s="10">
        <f>VLOOKUP(przech_odp_druzyny[[#This Row],[Drużyny]],druzyny!A:C,2)</f>
        <v>23</v>
      </c>
      <c r="C60">
        <v>51</v>
      </c>
      <c r="D60">
        <v>59</v>
      </c>
    </row>
    <row r="61" spans="1:4" x14ac:dyDescent="0.2">
      <c r="A61" s="10" t="s">
        <v>49</v>
      </c>
      <c r="B61" s="10">
        <f>VLOOKUP(przech_odp_druzyny[[#This Row],[Drużyny]],druzyny!A:C,2)</f>
        <v>1</v>
      </c>
      <c r="C61">
        <v>52</v>
      </c>
      <c r="D61">
        <v>60</v>
      </c>
    </row>
    <row r="62" spans="1:4" x14ac:dyDescent="0.2">
      <c r="A62" s="10" t="s">
        <v>130</v>
      </c>
      <c r="B62" s="10">
        <f>VLOOKUP(przech_odp_druzyny[[#This Row],[Drużyny]],druzyny!A:C,2)</f>
        <v>11</v>
      </c>
      <c r="C62">
        <v>53</v>
      </c>
      <c r="D62">
        <v>61</v>
      </c>
    </row>
    <row r="63" spans="1:4" x14ac:dyDescent="0.2">
      <c r="A63" s="10" t="s">
        <v>7</v>
      </c>
      <c r="B63" s="10">
        <f>VLOOKUP(przech_odp_druzyny[[#This Row],[Drużyny]],druzyny!A:C,2)</f>
        <v>16</v>
      </c>
      <c r="C63">
        <v>54</v>
      </c>
      <c r="D63">
        <v>62</v>
      </c>
    </row>
    <row r="64" spans="1:4" x14ac:dyDescent="0.2">
      <c r="A64" s="10" t="s">
        <v>122</v>
      </c>
      <c r="B64" s="10">
        <f>VLOOKUP(przech_odp_druzyny[[#This Row],[Drużyny]],druzyny!A:C,2)</f>
        <v>23</v>
      </c>
      <c r="C64">
        <v>55</v>
      </c>
      <c r="D64">
        <v>63</v>
      </c>
    </row>
    <row r="65" spans="1:4" x14ac:dyDescent="0.2">
      <c r="A65" s="10" t="s">
        <v>29</v>
      </c>
      <c r="B65" s="10">
        <f>VLOOKUP(przech_odp_druzyny[[#This Row],[Drużyny]],druzyny!A:C,2)</f>
        <v>24</v>
      </c>
      <c r="C65">
        <v>56</v>
      </c>
      <c r="D65">
        <v>64</v>
      </c>
    </row>
    <row r="66" spans="1:4" x14ac:dyDescent="0.2">
      <c r="A66" s="10" t="s">
        <v>43</v>
      </c>
      <c r="B66" s="10">
        <f>VLOOKUP(przech_odp_druzyny[[#This Row],[Drużyny]],druzyny!A:C,2)</f>
        <v>12</v>
      </c>
      <c r="C66">
        <v>57</v>
      </c>
      <c r="D66">
        <v>65</v>
      </c>
    </row>
    <row r="67" spans="1:4" x14ac:dyDescent="0.2">
      <c r="A67" s="10" t="s">
        <v>29</v>
      </c>
      <c r="B67" s="10">
        <f>VLOOKUP(przech_odp_druzyny[[#This Row],[Drużyny]],druzyny!A:C,2)</f>
        <v>24</v>
      </c>
      <c r="C67">
        <v>58</v>
      </c>
      <c r="D67">
        <v>66</v>
      </c>
    </row>
    <row r="68" spans="1:4" x14ac:dyDescent="0.2">
      <c r="A68" s="10" t="s">
        <v>17</v>
      </c>
      <c r="B68" s="10">
        <f>VLOOKUP(przech_odp_druzyny[[#This Row],[Drużyny]],druzyny!A:C,2)</f>
        <v>20</v>
      </c>
      <c r="C68">
        <v>59</v>
      </c>
      <c r="D68">
        <v>67</v>
      </c>
    </row>
    <row r="69" spans="1:4" x14ac:dyDescent="0.2">
      <c r="A69" s="10" t="s">
        <v>7</v>
      </c>
      <c r="B69" s="10">
        <f>VLOOKUP(przech_odp_druzyny[[#This Row],[Drużyny]],druzyny!A:C,2)</f>
        <v>16</v>
      </c>
      <c r="C69">
        <v>60</v>
      </c>
      <c r="D69">
        <v>68</v>
      </c>
    </row>
    <row r="70" spans="1:4" x14ac:dyDescent="0.2">
      <c r="A70" s="10" t="s">
        <v>7</v>
      </c>
      <c r="B70" s="10">
        <f>VLOOKUP(przech_odp_druzyny[[#This Row],[Drużyny]],druzyny!A:C,2)</f>
        <v>16</v>
      </c>
      <c r="C70">
        <v>61</v>
      </c>
      <c r="D70">
        <v>69</v>
      </c>
    </row>
    <row r="71" spans="1:4" x14ac:dyDescent="0.2">
      <c r="A71" s="10" t="s">
        <v>49</v>
      </c>
      <c r="B71" s="10">
        <f>VLOOKUP(przech_odp_druzyny[[#This Row],[Drużyny]],druzyny!A:C,2)</f>
        <v>1</v>
      </c>
      <c r="C71">
        <v>62</v>
      </c>
      <c r="D71">
        <v>70</v>
      </c>
    </row>
    <row r="72" spans="1:4" x14ac:dyDescent="0.2">
      <c r="A72" s="10" t="s">
        <v>7</v>
      </c>
      <c r="B72" s="10">
        <f>VLOOKUP(przech_odp_druzyny[[#This Row],[Drużyny]],druzyny!A:C,2)</f>
        <v>16</v>
      </c>
      <c r="C72">
        <v>63</v>
      </c>
      <c r="D72">
        <v>71</v>
      </c>
    </row>
    <row r="73" spans="1:4" x14ac:dyDescent="0.2">
      <c r="A73" s="10" t="s">
        <v>7</v>
      </c>
      <c r="B73" s="10">
        <f>VLOOKUP(przech_odp_druzyny[[#This Row],[Drużyny]],druzyny!A:C,2)</f>
        <v>16</v>
      </c>
      <c r="C73">
        <v>64</v>
      </c>
      <c r="D73">
        <v>72</v>
      </c>
    </row>
    <row r="74" spans="1:4" x14ac:dyDescent="0.2">
      <c r="A74" s="10" t="s">
        <v>7</v>
      </c>
      <c r="B74" s="10">
        <f>VLOOKUP(przech_odp_druzyny[[#This Row],[Drużyny]],druzyny!A:C,2)</f>
        <v>16</v>
      </c>
      <c r="C74">
        <v>65</v>
      </c>
      <c r="D74">
        <v>73</v>
      </c>
    </row>
    <row r="75" spans="1:4" x14ac:dyDescent="0.2">
      <c r="A75" s="10" t="s">
        <v>43</v>
      </c>
      <c r="B75" s="10">
        <f>VLOOKUP(przech_odp_druzyny[[#This Row],[Drużyny]],druzyny!A:C,2)</f>
        <v>12</v>
      </c>
      <c r="C75">
        <v>66</v>
      </c>
      <c r="D75">
        <v>74</v>
      </c>
    </row>
    <row r="76" spans="1:4" x14ac:dyDescent="0.2">
      <c r="A76" s="10" t="s">
        <v>7</v>
      </c>
      <c r="B76" s="10">
        <f>VLOOKUP(przech_odp_druzyny[[#This Row],[Drużyny]],druzyny!A:C,2)</f>
        <v>16</v>
      </c>
      <c r="C76">
        <v>67</v>
      </c>
      <c r="D76">
        <v>75</v>
      </c>
    </row>
    <row r="77" spans="1:4" x14ac:dyDescent="0.2">
      <c r="A77" s="10" t="s">
        <v>7</v>
      </c>
      <c r="B77" s="10">
        <f>VLOOKUP(przech_odp_druzyny[[#This Row],[Drużyny]],druzyny!A:C,2)</f>
        <v>16</v>
      </c>
      <c r="C77">
        <v>68</v>
      </c>
      <c r="D77">
        <v>76</v>
      </c>
    </row>
    <row r="78" spans="1:4" x14ac:dyDescent="0.2">
      <c r="A78" s="10" t="s">
        <v>17</v>
      </c>
      <c r="B78" s="10">
        <f>VLOOKUP(przech_odp_druzyny[[#This Row],[Drużyny]],druzyny!A:C,2)</f>
        <v>20</v>
      </c>
      <c r="C78">
        <v>69</v>
      </c>
      <c r="D78">
        <v>77</v>
      </c>
    </row>
    <row r="79" spans="1:4" x14ac:dyDescent="0.2">
      <c r="A79" s="10" t="s">
        <v>7</v>
      </c>
      <c r="B79" s="10">
        <f>VLOOKUP(przech_odp_druzyny[[#This Row],[Drużyny]],druzyny!A:C,2)</f>
        <v>16</v>
      </c>
      <c r="C79">
        <v>70</v>
      </c>
      <c r="D79">
        <v>78</v>
      </c>
    </row>
    <row r="80" spans="1:4" x14ac:dyDescent="0.2">
      <c r="A80" s="10" t="s">
        <v>7</v>
      </c>
      <c r="B80" s="10">
        <f>VLOOKUP(przech_odp_druzyny[[#This Row],[Drużyny]],druzyny!A:C,2)</f>
        <v>16</v>
      </c>
      <c r="C80">
        <v>71</v>
      </c>
      <c r="D80">
        <v>79</v>
      </c>
    </row>
    <row r="81" spans="1:4" x14ac:dyDescent="0.2">
      <c r="A81" s="10" t="s">
        <v>37</v>
      </c>
      <c r="B81" s="10">
        <f>VLOOKUP(przech_odp_druzyny[[#This Row],[Drużyny]],druzyny!A:C,2)</f>
        <v>13</v>
      </c>
      <c r="C81">
        <v>72</v>
      </c>
      <c r="D81">
        <v>80</v>
      </c>
    </row>
    <row r="82" spans="1:4" x14ac:dyDescent="0.2">
      <c r="A82" s="10" t="s">
        <v>17</v>
      </c>
      <c r="B82" s="10">
        <f>VLOOKUP(przech_odp_druzyny[[#This Row],[Drużyny]],druzyny!A:C,2)</f>
        <v>20</v>
      </c>
      <c r="C82">
        <v>72</v>
      </c>
      <c r="D82">
        <v>81</v>
      </c>
    </row>
    <row r="83" spans="1:4" x14ac:dyDescent="0.2">
      <c r="A83" s="10" t="s">
        <v>7</v>
      </c>
      <c r="B83" s="10">
        <f>VLOOKUP(przech_odp_druzyny[[#This Row],[Drużyny]],druzyny!A:C,2)</f>
        <v>16</v>
      </c>
      <c r="C83">
        <v>73</v>
      </c>
      <c r="D83">
        <v>82</v>
      </c>
    </row>
    <row r="84" spans="1:4" x14ac:dyDescent="0.2">
      <c r="A84" s="10" t="s">
        <v>7</v>
      </c>
      <c r="B84" s="10">
        <f>VLOOKUP(przech_odp_druzyny[[#This Row],[Drużyny]],druzyny!A:C,2)</f>
        <v>16</v>
      </c>
      <c r="C84">
        <v>74</v>
      </c>
      <c r="D84">
        <v>83</v>
      </c>
    </row>
    <row r="85" spans="1:4" x14ac:dyDescent="0.2">
      <c r="A85" s="10" t="s">
        <v>11</v>
      </c>
      <c r="B85" s="10">
        <f>VLOOKUP(przech_odp_druzyny[[#This Row],[Drużyny]],druzyny!A:C,2)</f>
        <v>6</v>
      </c>
      <c r="C85">
        <v>75</v>
      </c>
      <c r="D85">
        <v>84</v>
      </c>
    </row>
    <row r="86" spans="1:4" x14ac:dyDescent="0.2">
      <c r="A86" s="10" t="s">
        <v>49</v>
      </c>
      <c r="B86" s="10">
        <f>VLOOKUP(przech_odp_druzyny[[#This Row],[Drużyny]],druzyny!A:C,2)</f>
        <v>1</v>
      </c>
      <c r="C86">
        <v>75</v>
      </c>
      <c r="D86">
        <v>85</v>
      </c>
    </row>
    <row r="87" spans="1:4" x14ac:dyDescent="0.2">
      <c r="A87" s="10" t="s">
        <v>11</v>
      </c>
      <c r="B87" s="10">
        <f>VLOOKUP(przech_odp_druzyny[[#This Row],[Drużyny]],druzyny!A:C,2)</f>
        <v>6</v>
      </c>
      <c r="C87">
        <v>76</v>
      </c>
      <c r="D87">
        <v>86</v>
      </c>
    </row>
    <row r="88" spans="1:4" x14ac:dyDescent="0.2">
      <c r="A88" s="10" t="s">
        <v>49</v>
      </c>
      <c r="B88" s="10">
        <f>VLOOKUP(przech_odp_druzyny[[#This Row],[Drużyny]],druzyny!A:C,2)</f>
        <v>1</v>
      </c>
      <c r="C88">
        <v>76</v>
      </c>
      <c r="D88">
        <v>87</v>
      </c>
    </row>
    <row r="89" spans="1:4" x14ac:dyDescent="0.2">
      <c r="A89" s="10" t="s">
        <v>43</v>
      </c>
      <c r="B89" s="10">
        <f>VLOOKUP(przech_odp_druzyny[[#This Row],[Drużyny]],druzyny!A:C,2)</f>
        <v>12</v>
      </c>
      <c r="C89">
        <v>77</v>
      </c>
      <c r="D89">
        <v>88</v>
      </c>
    </row>
    <row r="90" spans="1:4" x14ac:dyDescent="0.2">
      <c r="A90" s="10" t="s">
        <v>31</v>
      </c>
      <c r="B90" s="10">
        <f>VLOOKUP(przech_odp_druzyny[[#This Row],[Drużyny]],druzyny!A:C,2)</f>
        <v>10</v>
      </c>
      <c r="C90">
        <v>77</v>
      </c>
      <c r="D90">
        <v>89</v>
      </c>
    </row>
    <row r="91" spans="1:4" x14ac:dyDescent="0.2">
      <c r="A91" s="10" t="s">
        <v>37</v>
      </c>
      <c r="B91" s="10">
        <f>VLOOKUP(przech_odp_druzyny[[#This Row],[Drużyny]],druzyny!A:C,2)</f>
        <v>13</v>
      </c>
      <c r="C91">
        <v>78</v>
      </c>
      <c r="D91">
        <v>90</v>
      </c>
    </row>
    <row r="92" spans="1:4" x14ac:dyDescent="0.2">
      <c r="A92" s="10" t="s">
        <v>43</v>
      </c>
      <c r="B92" s="10">
        <f>VLOOKUP(przech_odp_druzyny[[#This Row],[Drużyny]],druzyny!A:C,2)</f>
        <v>12</v>
      </c>
      <c r="C92">
        <v>78</v>
      </c>
      <c r="D92">
        <v>91</v>
      </c>
    </row>
    <row r="93" spans="1:4" x14ac:dyDescent="0.2">
      <c r="A93" s="10" t="s">
        <v>31</v>
      </c>
      <c r="B93" s="10">
        <f>VLOOKUP(przech_odp_druzyny[[#This Row],[Drużyny]],druzyny!A:C,2)</f>
        <v>10</v>
      </c>
      <c r="C93">
        <v>78</v>
      </c>
      <c r="D93">
        <v>92</v>
      </c>
    </row>
    <row r="94" spans="1:4" x14ac:dyDescent="0.2">
      <c r="A94" s="10" t="s">
        <v>7</v>
      </c>
      <c r="B94" s="10">
        <f>VLOOKUP(przech_odp_druzyny[[#This Row],[Drużyny]],druzyny!A:C,2)</f>
        <v>16</v>
      </c>
      <c r="C94">
        <v>79</v>
      </c>
      <c r="D94">
        <v>93</v>
      </c>
    </row>
    <row r="95" spans="1:4" x14ac:dyDescent="0.2">
      <c r="A95" s="10" t="s">
        <v>43</v>
      </c>
      <c r="B95" s="10">
        <f>VLOOKUP(przech_odp_druzyny[[#This Row],[Drużyny]],druzyny!A:C,2)</f>
        <v>12</v>
      </c>
      <c r="C95">
        <v>80</v>
      </c>
      <c r="D95">
        <v>94</v>
      </c>
    </row>
    <row r="96" spans="1:4" x14ac:dyDescent="0.2">
      <c r="A96" s="10" t="s">
        <v>43</v>
      </c>
      <c r="B96" s="10">
        <f>VLOOKUP(przech_odp_druzyny[[#This Row],[Drużyny]],druzyny!A:C,2)</f>
        <v>12</v>
      </c>
      <c r="C96">
        <v>81</v>
      </c>
      <c r="D96">
        <v>95</v>
      </c>
    </row>
    <row r="97" spans="1:4" x14ac:dyDescent="0.2">
      <c r="A97" s="10" t="s">
        <v>43</v>
      </c>
      <c r="B97" s="10">
        <f>VLOOKUP(przech_odp_druzyny[[#This Row],[Drużyny]],druzyny!A:C,2)</f>
        <v>12</v>
      </c>
      <c r="C97">
        <v>82</v>
      </c>
      <c r="D97">
        <v>96</v>
      </c>
    </row>
    <row r="98" spans="1:4" x14ac:dyDescent="0.2">
      <c r="A98" s="10" t="s">
        <v>31</v>
      </c>
      <c r="B98" s="10">
        <f>VLOOKUP(przech_odp_druzyny[[#This Row],[Drużyny]],druzyny!A:C,2)</f>
        <v>10</v>
      </c>
      <c r="C98">
        <v>82</v>
      </c>
      <c r="D98">
        <v>97</v>
      </c>
    </row>
    <row r="99" spans="1:4" x14ac:dyDescent="0.2">
      <c r="A99" s="10" t="s">
        <v>7</v>
      </c>
      <c r="B99" s="10">
        <f>VLOOKUP(przech_odp_druzyny[[#This Row],[Drużyny]],druzyny!A:C,2)</f>
        <v>16</v>
      </c>
      <c r="C99">
        <v>83</v>
      </c>
      <c r="D99">
        <v>98</v>
      </c>
    </row>
    <row r="100" spans="1:4" x14ac:dyDescent="0.2">
      <c r="A100" s="10" t="s">
        <v>43</v>
      </c>
      <c r="B100" s="10">
        <f>VLOOKUP(przech_odp_druzyny[[#This Row],[Drużyny]],druzyny!A:C,2)</f>
        <v>12</v>
      </c>
      <c r="C100">
        <v>84</v>
      </c>
      <c r="D100">
        <v>99</v>
      </c>
    </row>
    <row r="101" spans="1:4" x14ac:dyDescent="0.2">
      <c r="A101" s="10" t="s">
        <v>7</v>
      </c>
      <c r="B101" s="10">
        <f>VLOOKUP(przech_odp_druzyny[[#This Row],[Drużyny]],druzyny!A:C,2)</f>
        <v>16</v>
      </c>
      <c r="C101">
        <v>85</v>
      </c>
      <c r="D101">
        <v>100</v>
      </c>
    </row>
    <row r="102" spans="1:4" x14ac:dyDescent="0.2">
      <c r="A102" s="10" t="s">
        <v>49</v>
      </c>
      <c r="B102" s="10">
        <f>VLOOKUP(przech_odp_druzyny[[#This Row],[Drużyny]],druzyny!A:C,2)</f>
        <v>1</v>
      </c>
      <c r="C102">
        <v>86</v>
      </c>
      <c r="D102">
        <v>101</v>
      </c>
    </row>
    <row r="103" spans="1:4" x14ac:dyDescent="0.2">
      <c r="A103" s="10" t="s">
        <v>7</v>
      </c>
      <c r="B103" s="10">
        <f>VLOOKUP(przech_odp_druzyny[[#This Row],[Drużyny]],druzyny!A:C,2)</f>
        <v>16</v>
      </c>
      <c r="C103">
        <v>87</v>
      </c>
      <c r="D103">
        <v>102</v>
      </c>
    </row>
    <row r="104" spans="1:4" x14ac:dyDescent="0.2">
      <c r="A104" s="10" t="s">
        <v>7</v>
      </c>
      <c r="B104" s="10">
        <f>VLOOKUP(przech_odp_druzyny[[#This Row],[Drużyny]],druzyny!A:C,2)</f>
        <v>16</v>
      </c>
      <c r="C104">
        <v>88</v>
      </c>
      <c r="D104">
        <v>103</v>
      </c>
    </row>
    <row r="105" spans="1:4" x14ac:dyDescent="0.2">
      <c r="A105" s="10" t="s">
        <v>7</v>
      </c>
      <c r="B105" s="10">
        <f>VLOOKUP(przech_odp_druzyny[[#This Row],[Drużyny]],druzyny!A:C,2)</f>
        <v>16</v>
      </c>
      <c r="C105">
        <v>89</v>
      </c>
      <c r="D105">
        <v>104</v>
      </c>
    </row>
    <row r="106" spans="1:4" x14ac:dyDescent="0.2">
      <c r="A106" s="10" t="s">
        <v>43</v>
      </c>
      <c r="B106" s="10">
        <f>VLOOKUP(przech_odp_druzyny[[#This Row],[Drużyny]],druzyny!A:C,2)</f>
        <v>12</v>
      </c>
      <c r="C106">
        <v>90</v>
      </c>
      <c r="D106">
        <v>105</v>
      </c>
    </row>
    <row r="107" spans="1:4" x14ac:dyDescent="0.2">
      <c r="A107" s="10" t="s">
        <v>122</v>
      </c>
      <c r="B107" s="10">
        <f>VLOOKUP(przech_odp_druzyny[[#This Row],[Drużyny]],druzyny!A:C,2)</f>
        <v>23</v>
      </c>
      <c r="C107">
        <v>90</v>
      </c>
      <c r="D107">
        <v>106</v>
      </c>
    </row>
    <row r="108" spans="1:4" x14ac:dyDescent="0.2">
      <c r="A108" s="10" t="s">
        <v>7</v>
      </c>
      <c r="B108" s="10">
        <f>VLOOKUP(przech_odp_druzyny[[#This Row],[Drużyny]],druzyny!A:C,2)</f>
        <v>16</v>
      </c>
      <c r="C108">
        <v>91</v>
      </c>
      <c r="D108">
        <v>107</v>
      </c>
    </row>
    <row r="109" spans="1:4" x14ac:dyDescent="0.2">
      <c r="A109" s="10" t="s">
        <v>17</v>
      </c>
      <c r="B109" s="10">
        <f>VLOOKUP(przech_odp_druzyny[[#This Row],[Drużyny]],druzyny!A:C,2)</f>
        <v>20</v>
      </c>
      <c r="C109">
        <v>92</v>
      </c>
      <c r="D109">
        <v>108</v>
      </c>
    </row>
    <row r="110" spans="1:4" x14ac:dyDescent="0.2">
      <c r="A110" s="10" t="s">
        <v>31</v>
      </c>
      <c r="B110" s="10">
        <f>VLOOKUP(przech_odp_druzyny[[#This Row],[Drużyny]],druzyny!A:C,2)</f>
        <v>10</v>
      </c>
      <c r="C110">
        <v>93</v>
      </c>
      <c r="D110">
        <v>109</v>
      </c>
    </row>
    <row r="111" spans="1:4" x14ac:dyDescent="0.2">
      <c r="A111" s="10" t="s">
        <v>7</v>
      </c>
      <c r="B111" s="10">
        <f>VLOOKUP(przech_odp_druzyny[[#This Row],[Drużyny]],druzyny!A:C,2)</f>
        <v>16</v>
      </c>
      <c r="C111">
        <v>94</v>
      </c>
      <c r="D111">
        <v>110</v>
      </c>
    </row>
    <row r="112" spans="1:4" x14ac:dyDescent="0.2">
      <c r="A112" s="10" t="s">
        <v>129</v>
      </c>
      <c r="B112" s="10">
        <f>VLOOKUP(przech_odp_druzyny[[#This Row],[Drużyny]],druzyny!A:C,2)</f>
        <v>22</v>
      </c>
      <c r="C112">
        <v>95</v>
      </c>
      <c r="D112">
        <v>111</v>
      </c>
    </row>
    <row r="113" spans="1:4" x14ac:dyDescent="0.2">
      <c r="A113" s="10" t="s">
        <v>7</v>
      </c>
      <c r="B113" s="10">
        <f>VLOOKUP(przech_odp_druzyny[[#This Row],[Drużyny]],druzyny!A:C,2)</f>
        <v>16</v>
      </c>
      <c r="C113">
        <v>96</v>
      </c>
      <c r="D113">
        <v>112</v>
      </c>
    </row>
    <row r="114" spans="1:4" x14ac:dyDescent="0.2">
      <c r="A114" s="10" t="s">
        <v>17</v>
      </c>
      <c r="B114" s="10">
        <f>VLOOKUP(przech_odp_druzyny[[#This Row],[Drużyny]],druzyny!A:C,2)</f>
        <v>20</v>
      </c>
      <c r="C114">
        <v>97</v>
      </c>
      <c r="D114">
        <v>113</v>
      </c>
    </row>
    <row r="115" spans="1:4" x14ac:dyDescent="0.2">
      <c r="A115" s="10" t="s">
        <v>43</v>
      </c>
      <c r="B115" s="10">
        <f>VLOOKUP(przech_odp_druzyny[[#This Row],[Drużyny]],druzyny!A:C,2)</f>
        <v>12</v>
      </c>
      <c r="C115">
        <v>98</v>
      </c>
      <c r="D115">
        <v>114</v>
      </c>
    </row>
    <row r="116" spans="1:4" x14ac:dyDescent="0.2">
      <c r="A116" s="10" t="s">
        <v>7</v>
      </c>
      <c r="B116" s="10">
        <f>VLOOKUP(przech_odp_druzyny[[#This Row],[Drużyny]],druzyny!A:C,2)</f>
        <v>16</v>
      </c>
      <c r="C116">
        <v>99</v>
      </c>
      <c r="D116">
        <v>115</v>
      </c>
    </row>
    <row r="117" spans="1:4" x14ac:dyDescent="0.2">
      <c r="A117" s="10" t="s">
        <v>7</v>
      </c>
      <c r="B117" s="10">
        <f>VLOOKUP(przech_odp_druzyny[[#This Row],[Drużyny]],druzyny!A:C,2)</f>
        <v>16</v>
      </c>
      <c r="C117">
        <v>100</v>
      </c>
      <c r="D117">
        <v>116</v>
      </c>
    </row>
    <row r="118" spans="1:4" x14ac:dyDescent="0.2">
      <c r="A118" s="10" t="s">
        <v>7</v>
      </c>
      <c r="B118" s="10">
        <f>VLOOKUP(przech_odp_druzyny[[#This Row],[Drużyny]],druzyny!A:C,2)</f>
        <v>16</v>
      </c>
      <c r="C118">
        <v>101</v>
      </c>
      <c r="D118">
        <v>117</v>
      </c>
    </row>
    <row r="119" spans="1:4" x14ac:dyDescent="0.2">
      <c r="A119" s="10" t="s">
        <v>7</v>
      </c>
      <c r="B119" s="10">
        <f>VLOOKUP(przech_odp_druzyny[[#This Row],[Drużyny]],druzyny!A:C,2)</f>
        <v>16</v>
      </c>
      <c r="C119">
        <v>102</v>
      </c>
      <c r="D119">
        <v>118</v>
      </c>
    </row>
    <row r="120" spans="1:4" x14ac:dyDescent="0.2">
      <c r="A120" s="10" t="s">
        <v>36</v>
      </c>
      <c r="B120" s="10">
        <f>VLOOKUP(przech_odp_druzyny[[#This Row],[Drużyny]],druzyny!A:C,2)</f>
        <v>7</v>
      </c>
      <c r="C120">
        <v>103</v>
      </c>
      <c r="D120">
        <v>119</v>
      </c>
    </row>
    <row r="121" spans="1:4" x14ac:dyDescent="0.2">
      <c r="A121" s="10" t="s">
        <v>11</v>
      </c>
      <c r="B121" s="10">
        <f>VLOOKUP(przech_odp_druzyny[[#This Row],[Drużyny]],druzyny!A:C,2)</f>
        <v>6</v>
      </c>
      <c r="C121">
        <v>104</v>
      </c>
      <c r="D121">
        <v>120</v>
      </c>
    </row>
    <row r="122" spans="1:4" x14ac:dyDescent="0.2">
      <c r="A122" s="10" t="s">
        <v>49</v>
      </c>
      <c r="B122" s="10">
        <f>VLOOKUP(przech_odp_druzyny[[#This Row],[Drużyny]],druzyny!A:C,2)</f>
        <v>1</v>
      </c>
      <c r="C122">
        <v>104</v>
      </c>
      <c r="D122">
        <v>121</v>
      </c>
    </row>
    <row r="123" spans="1:4" x14ac:dyDescent="0.2">
      <c r="A123" s="10" t="s">
        <v>37</v>
      </c>
      <c r="B123" s="10">
        <f>VLOOKUP(przech_odp_druzyny[[#This Row],[Drużyny]],druzyny!A:C,2)</f>
        <v>13</v>
      </c>
      <c r="C123">
        <v>105</v>
      </c>
      <c r="D123">
        <v>122</v>
      </c>
    </row>
    <row r="124" spans="1:4" x14ac:dyDescent="0.2">
      <c r="A124" s="10" t="s">
        <v>7</v>
      </c>
      <c r="B124" s="10">
        <f>VLOOKUP(przech_odp_druzyny[[#This Row],[Drużyny]],druzyny!A:C,2)</f>
        <v>16</v>
      </c>
      <c r="C124">
        <v>106</v>
      </c>
      <c r="D124">
        <v>123</v>
      </c>
    </row>
    <row r="125" spans="1:4" x14ac:dyDescent="0.2">
      <c r="A125" s="10" t="s">
        <v>136</v>
      </c>
      <c r="B125" s="10">
        <f>VLOOKUP(przech_odp_druzyny[[#This Row],[Drużyny]],druzyny!A:C,2)</f>
        <v>8</v>
      </c>
      <c r="C125">
        <v>107</v>
      </c>
      <c r="D125">
        <v>124</v>
      </c>
    </row>
    <row r="126" spans="1:4" x14ac:dyDescent="0.2">
      <c r="A126" s="10" t="s">
        <v>7</v>
      </c>
      <c r="B126" s="10">
        <f>VLOOKUP(przech_odp_druzyny[[#This Row],[Drużyny]],druzyny!A:C,2)</f>
        <v>16</v>
      </c>
      <c r="C126">
        <v>108</v>
      </c>
      <c r="D126">
        <v>125</v>
      </c>
    </row>
    <row r="127" spans="1:4" x14ac:dyDescent="0.2">
      <c r="A127" s="10" t="s">
        <v>122</v>
      </c>
      <c r="B127" s="10">
        <f>VLOOKUP(przech_odp_druzyny[[#This Row],[Drużyny]],druzyny!A:C,2)</f>
        <v>23</v>
      </c>
      <c r="C127">
        <v>109</v>
      </c>
      <c r="D127">
        <v>126</v>
      </c>
    </row>
    <row r="128" spans="1:4" x14ac:dyDescent="0.2">
      <c r="A128" s="10" t="s">
        <v>122</v>
      </c>
      <c r="B128" s="10">
        <f>VLOOKUP(przech_odp_druzyny[[#This Row],[Drużyny]],druzyny!A:C,2)</f>
        <v>23</v>
      </c>
      <c r="C128">
        <v>110</v>
      </c>
      <c r="D128">
        <v>127</v>
      </c>
    </row>
    <row r="129" spans="1:4" x14ac:dyDescent="0.2">
      <c r="A129" s="10" t="s">
        <v>7</v>
      </c>
      <c r="B129" s="10">
        <f>VLOOKUP(przech_odp_druzyny[[#This Row],[Drużyny]],druzyny!A:C,2)</f>
        <v>16</v>
      </c>
      <c r="C129">
        <v>111</v>
      </c>
      <c r="D129">
        <v>128</v>
      </c>
    </row>
    <row r="130" spans="1:4" x14ac:dyDescent="0.2">
      <c r="A130" s="10" t="s">
        <v>7</v>
      </c>
      <c r="B130" s="10">
        <f>VLOOKUP(przech_odp_druzyny[[#This Row],[Drużyny]],druzyny!A:C,2)</f>
        <v>16</v>
      </c>
      <c r="C130">
        <v>112</v>
      </c>
      <c r="D130">
        <v>129</v>
      </c>
    </row>
    <row r="131" spans="1:4" x14ac:dyDescent="0.2">
      <c r="A131" s="10" t="s">
        <v>36</v>
      </c>
      <c r="B131" s="10">
        <f>VLOOKUP(przech_odp_druzyny[[#This Row],[Drużyny]],druzyny!A:C,2)</f>
        <v>7</v>
      </c>
      <c r="C131">
        <v>113</v>
      </c>
      <c r="D131">
        <v>130</v>
      </c>
    </row>
    <row r="132" spans="1:4" x14ac:dyDescent="0.2">
      <c r="A132" s="10" t="s">
        <v>11</v>
      </c>
      <c r="B132" s="10">
        <f>VLOOKUP(przech_odp_druzyny[[#This Row],[Drużyny]],druzyny!A:C,2)</f>
        <v>6</v>
      </c>
      <c r="C132">
        <v>113</v>
      </c>
      <c r="D132">
        <v>131</v>
      </c>
    </row>
    <row r="133" spans="1:4" x14ac:dyDescent="0.2">
      <c r="A133" s="10" t="s">
        <v>17</v>
      </c>
      <c r="B133" s="10">
        <f>VLOOKUP(przech_odp_druzyny[[#This Row],[Drużyny]],druzyny!A:C,2)</f>
        <v>20</v>
      </c>
      <c r="C133">
        <v>114</v>
      </c>
      <c r="D133">
        <v>132</v>
      </c>
    </row>
    <row r="134" spans="1:4" x14ac:dyDescent="0.2">
      <c r="A134" s="10" t="s">
        <v>29</v>
      </c>
      <c r="B134" s="10">
        <f>VLOOKUP(przech_odp_druzyny[[#This Row],[Drużyny]],druzyny!A:C,2)</f>
        <v>24</v>
      </c>
      <c r="C134">
        <v>115</v>
      </c>
      <c r="D134">
        <v>133</v>
      </c>
    </row>
    <row r="135" spans="1:4" x14ac:dyDescent="0.2">
      <c r="A135" s="10" t="s">
        <v>49</v>
      </c>
      <c r="B135" s="10">
        <f>VLOOKUP(przech_odp_druzyny[[#This Row],[Drużyny]],druzyny!A:C,2)</f>
        <v>1</v>
      </c>
      <c r="C135">
        <v>115</v>
      </c>
      <c r="D135">
        <v>134</v>
      </c>
    </row>
    <row r="136" spans="1:4" x14ac:dyDescent="0.2">
      <c r="A136" s="10" t="s">
        <v>37</v>
      </c>
      <c r="B136" s="10">
        <f>VLOOKUP(przech_odp_druzyny[[#This Row],[Drużyny]],druzyny!A:C,2)</f>
        <v>13</v>
      </c>
      <c r="C136">
        <v>116</v>
      </c>
      <c r="D136">
        <v>135</v>
      </c>
    </row>
    <row r="137" spans="1:4" x14ac:dyDescent="0.2">
      <c r="A137" s="10" t="s">
        <v>138</v>
      </c>
      <c r="B137" s="10">
        <f>VLOOKUP(przech_odp_druzyny[[#This Row],[Drużyny]],druzyny!A:C,2)</f>
        <v>15</v>
      </c>
      <c r="C137">
        <v>117</v>
      </c>
      <c r="D137">
        <v>136</v>
      </c>
    </row>
    <row r="138" spans="1:4" x14ac:dyDescent="0.2">
      <c r="A138" s="10" t="s">
        <v>7</v>
      </c>
      <c r="B138" s="10">
        <f>VLOOKUP(przech_odp_druzyny[[#This Row],[Drużyny]],druzyny!A:C,2)</f>
        <v>16</v>
      </c>
      <c r="C138">
        <v>118</v>
      </c>
      <c r="D138">
        <v>137</v>
      </c>
    </row>
    <row r="139" spans="1:4" x14ac:dyDescent="0.2">
      <c r="A139" s="10" t="s">
        <v>29</v>
      </c>
      <c r="B139" s="10">
        <f>VLOOKUP(przech_odp_druzyny[[#This Row],[Drużyny]],druzyny!A:C,2)</f>
        <v>24</v>
      </c>
      <c r="C139">
        <v>119</v>
      </c>
      <c r="D139">
        <v>138</v>
      </c>
    </row>
    <row r="140" spans="1:4" x14ac:dyDescent="0.2">
      <c r="A140" s="10" t="s">
        <v>7</v>
      </c>
      <c r="B140" s="10">
        <f>VLOOKUP(przech_odp_druzyny[[#This Row],[Drużyny]],druzyny!A:C,2)</f>
        <v>16</v>
      </c>
      <c r="C140">
        <v>120</v>
      </c>
      <c r="D140">
        <v>139</v>
      </c>
    </row>
    <row r="141" spans="1:4" x14ac:dyDescent="0.2">
      <c r="A141" s="10" t="s">
        <v>7</v>
      </c>
      <c r="B141" s="10">
        <f>VLOOKUP(przech_odp_druzyny[[#This Row],[Drużyny]],druzyny!A:C,2)</f>
        <v>16</v>
      </c>
      <c r="C141">
        <v>121</v>
      </c>
      <c r="D141">
        <v>140</v>
      </c>
    </row>
    <row r="142" spans="1:4" x14ac:dyDescent="0.2">
      <c r="A142" s="10" t="s">
        <v>7</v>
      </c>
      <c r="B142" s="10">
        <f>VLOOKUP(przech_odp_druzyny[[#This Row],[Drużyny]],druzyny!A:C,2)</f>
        <v>16</v>
      </c>
      <c r="C142">
        <v>122</v>
      </c>
      <c r="D142">
        <v>141</v>
      </c>
    </row>
    <row r="143" spans="1:4" x14ac:dyDescent="0.2">
      <c r="A143" s="10" t="s">
        <v>43</v>
      </c>
      <c r="B143" s="10">
        <f>VLOOKUP(przech_odp_druzyny[[#This Row],[Drużyny]],druzyny!A:C,2)</f>
        <v>12</v>
      </c>
      <c r="C143">
        <v>123</v>
      </c>
      <c r="D143">
        <v>142</v>
      </c>
    </row>
    <row r="144" spans="1:4" x14ac:dyDescent="0.2">
      <c r="A144" s="10" t="s">
        <v>7</v>
      </c>
      <c r="B144" s="10">
        <f>VLOOKUP(przech_odp_druzyny[[#This Row],[Drużyny]],druzyny!A:C,2)</f>
        <v>16</v>
      </c>
      <c r="C144">
        <v>124</v>
      </c>
      <c r="D144">
        <v>143</v>
      </c>
    </row>
    <row r="145" spans="1:4" x14ac:dyDescent="0.2">
      <c r="A145" s="10" t="s">
        <v>7</v>
      </c>
      <c r="B145" s="10">
        <f>VLOOKUP(przech_odp_druzyny[[#This Row],[Drużyny]],druzyny!A:C,2)</f>
        <v>16</v>
      </c>
      <c r="C145">
        <v>125</v>
      </c>
      <c r="D145">
        <v>144</v>
      </c>
    </row>
    <row r="146" spans="1:4" x14ac:dyDescent="0.2">
      <c r="A146" s="10" t="s">
        <v>121</v>
      </c>
      <c r="B146" s="10">
        <f>VLOOKUP(przech_odp_druzyny[[#This Row],[Drużyny]],druzyny!A:C,2)</f>
        <v>19</v>
      </c>
      <c r="C146">
        <v>126</v>
      </c>
      <c r="D146">
        <v>145</v>
      </c>
    </row>
    <row r="147" spans="1:4" x14ac:dyDescent="0.2">
      <c r="A147" s="10" t="s">
        <v>194</v>
      </c>
      <c r="B147" s="10">
        <f>VLOOKUP(przech_odp_druzyny[[#This Row],[Drużyny]],druzyny!A:C,2)</f>
        <v>18</v>
      </c>
      <c r="C147">
        <v>126</v>
      </c>
      <c r="D147">
        <v>146</v>
      </c>
    </row>
    <row r="148" spans="1:4" x14ac:dyDescent="0.2">
      <c r="A148" s="10" t="s">
        <v>43</v>
      </c>
      <c r="B148" s="10">
        <f>VLOOKUP(przech_odp_druzyny[[#This Row],[Drużyny]],druzyny!A:C,2)</f>
        <v>12</v>
      </c>
      <c r="C148">
        <v>127</v>
      </c>
      <c r="D148">
        <v>147</v>
      </c>
    </row>
    <row r="149" spans="1:4" x14ac:dyDescent="0.2">
      <c r="A149" s="10" t="s">
        <v>140</v>
      </c>
      <c r="B149" s="10">
        <f>VLOOKUP(przech_odp_druzyny[[#This Row],[Drużyny]],druzyny!A:C,2)</f>
        <v>3</v>
      </c>
      <c r="C149">
        <v>128</v>
      </c>
      <c r="D149">
        <v>148</v>
      </c>
    </row>
    <row r="150" spans="1:4" x14ac:dyDescent="0.2">
      <c r="A150" s="10" t="s">
        <v>195</v>
      </c>
      <c r="B150" s="10">
        <f>VLOOKUP(przech_odp_druzyny[[#This Row],[Drużyny]],druzyny!A:C,2)</f>
        <v>25</v>
      </c>
      <c r="C150">
        <v>129</v>
      </c>
      <c r="D150">
        <v>149</v>
      </c>
    </row>
    <row r="151" spans="1:4" x14ac:dyDescent="0.2">
      <c r="A151" s="10" t="s">
        <v>196</v>
      </c>
      <c r="B151" s="10">
        <f>VLOOKUP(przech_odp_druzyny[[#This Row],[Drużyny]],druzyny!A:C,2)</f>
        <v>26</v>
      </c>
      <c r="C151">
        <v>129</v>
      </c>
      <c r="D151">
        <v>150</v>
      </c>
    </row>
    <row r="152" spans="1:4" x14ac:dyDescent="0.2">
      <c r="A152" s="10" t="s">
        <v>11</v>
      </c>
      <c r="B152" s="10">
        <f>VLOOKUP(przech_odp_druzyny[[#This Row],[Drużyny]],druzyny!A:C,2)</f>
        <v>6</v>
      </c>
      <c r="C152">
        <v>130</v>
      </c>
      <c r="D152">
        <v>151</v>
      </c>
    </row>
    <row r="153" spans="1:4" x14ac:dyDescent="0.2">
      <c r="A153" s="10" t="s">
        <v>11</v>
      </c>
      <c r="B153" s="10">
        <f>VLOOKUP(przech_odp_druzyny[[#This Row],[Drużyny]],druzyny!A:C,2)</f>
        <v>6</v>
      </c>
      <c r="C153">
        <v>131</v>
      </c>
      <c r="D153">
        <v>152</v>
      </c>
    </row>
    <row r="154" spans="1:4" x14ac:dyDescent="0.2">
      <c r="A154" s="10" t="s">
        <v>49</v>
      </c>
      <c r="B154" s="10">
        <f>VLOOKUP(przech_odp_druzyny[[#This Row],[Drużyny]],druzyny!A:C,2)</f>
        <v>1</v>
      </c>
      <c r="C154">
        <v>131</v>
      </c>
      <c r="D154">
        <v>153</v>
      </c>
    </row>
    <row r="155" spans="1:4" x14ac:dyDescent="0.2">
      <c r="A155" s="10" t="s">
        <v>29</v>
      </c>
      <c r="B155" s="10">
        <f>VLOOKUP(przech_odp_druzyny[[#This Row],[Drużyny]],druzyny!A:C,2)</f>
        <v>24</v>
      </c>
      <c r="C155">
        <v>132</v>
      </c>
      <c r="D155">
        <v>154</v>
      </c>
    </row>
    <row r="156" spans="1:4" x14ac:dyDescent="0.2">
      <c r="A156" s="10" t="s">
        <v>11</v>
      </c>
      <c r="B156" s="10">
        <f>VLOOKUP(przech_odp_druzyny[[#This Row],[Drużyny]],druzyny!A:C,2)</f>
        <v>6</v>
      </c>
      <c r="C156">
        <v>133</v>
      </c>
      <c r="D156">
        <v>155</v>
      </c>
    </row>
    <row r="157" spans="1:4" x14ac:dyDescent="0.2">
      <c r="A157" s="10" t="s">
        <v>7</v>
      </c>
      <c r="B157" s="10">
        <f>VLOOKUP(przech_odp_druzyny[[#This Row],[Drużyny]],druzyny!A:C,2)</f>
        <v>16</v>
      </c>
      <c r="C157">
        <v>134</v>
      </c>
      <c r="D157">
        <v>156</v>
      </c>
    </row>
    <row r="158" spans="1:4" x14ac:dyDescent="0.2">
      <c r="A158" s="10" t="s">
        <v>31</v>
      </c>
      <c r="B158" s="10">
        <f>VLOOKUP(przech_odp_druzyny[[#This Row],[Drużyny]],druzyny!A:C,2)</f>
        <v>10</v>
      </c>
      <c r="C158">
        <v>135</v>
      </c>
      <c r="D158">
        <v>157</v>
      </c>
    </row>
    <row r="159" spans="1:4" x14ac:dyDescent="0.2">
      <c r="A159" s="10" t="s">
        <v>7</v>
      </c>
      <c r="B159" s="10">
        <f>VLOOKUP(przech_odp_druzyny[[#This Row],[Drużyny]],druzyny!A:C,2)</f>
        <v>16</v>
      </c>
      <c r="C159">
        <v>136</v>
      </c>
      <c r="D159">
        <v>158</v>
      </c>
    </row>
    <row r="160" spans="1:4" x14ac:dyDescent="0.2">
      <c r="A160" s="10" t="s">
        <v>43</v>
      </c>
      <c r="B160" s="10">
        <f>VLOOKUP(przech_odp_druzyny[[#This Row],[Drużyny]],druzyny!A:C,2)</f>
        <v>12</v>
      </c>
      <c r="C160">
        <v>137</v>
      </c>
      <c r="D160">
        <v>159</v>
      </c>
    </row>
    <row r="161" spans="1:4" x14ac:dyDescent="0.2">
      <c r="A161" s="10" t="s">
        <v>31</v>
      </c>
      <c r="B161" s="10">
        <f>VLOOKUP(przech_odp_druzyny[[#This Row],[Drużyny]],druzyny!A:C,2)</f>
        <v>10</v>
      </c>
      <c r="C161">
        <v>137</v>
      </c>
      <c r="D161">
        <v>160</v>
      </c>
    </row>
    <row r="162" spans="1:4" x14ac:dyDescent="0.2">
      <c r="A162" s="10" t="s">
        <v>31</v>
      </c>
      <c r="B162" s="10">
        <f>VLOOKUP(przech_odp_druzyny[[#This Row],[Drużyny]],druzyny!A:C,2)</f>
        <v>10</v>
      </c>
      <c r="C162">
        <v>138</v>
      </c>
      <c r="D162">
        <v>161</v>
      </c>
    </row>
    <row r="163" spans="1:4" x14ac:dyDescent="0.2">
      <c r="A163" s="10" t="s">
        <v>43</v>
      </c>
      <c r="B163" s="10">
        <f>VLOOKUP(przech_odp_druzyny[[#This Row],[Drużyny]],druzyny!A:C,2)</f>
        <v>12</v>
      </c>
      <c r="C163">
        <v>139</v>
      </c>
      <c r="D163">
        <v>162</v>
      </c>
    </row>
    <row r="164" spans="1:4" x14ac:dyDescent="0.2">
      <c r="A164" s="10" t="s">
        <v>7</v>
      </c>
      <c r="B164" s="10">
        <f>VLOOKUP(przech_odp_druzyny[[#This Row],[Drużyny]],druzyny!A:C,2)</f>
        <v>16</v>
      </c>
      <c r="C164">
        <v>140</v>
      </c>
      <c r="D164">
        <v>163</v>
      </c>
    </row>
    <row r="165" spans="1:4" x14ac:dyDescent="0.2">
      <c r="A165" s="10" t="s">
        <v>122</v>
      </c>
      <c r="B165" s="10">
        <f>VLOOKUP(przech_odp_druzyny[[#This Row],[Drużyny]],druzyny!A:C,2)</f>
        <v>23</v>
      </c>
      <c r="C165">
        <v>141</v>
      </c>
      <c r="D165">
        <v>164</v>
      </c>
    </row>
    <row r="166" spans="1:4" x14ac:dyDescent="0.2">
      <c r="A166" s="10" t="s">
        <v>31</v>
      </c>
      <c r="B166" s="10">
        <f>VLOOKUP(przech_odp_druzyny[[#This Row],[Drużyny]],druzyny!A:C,2)</f>
        <v>10</v>
      </c>
      <c r="C166">
        <v>142</v>
      </c>
      <c r="D166">
        <v>165</v>
      </c>
    </row>
    <row r="167" spans="1:4" x14ac:dyDescent="0.2">
      <c r="A167" s="10" t="s">
        <v>193</v>
      </c>
      <c r="B167" s="10">
        <f>VLOOKUP(przech_odp_druzyny[[#This Row],[Drużyny]],druzyny!A:C,2)</f>
        <v>14</v>
      </c>
      <c r="C167">
        <v>142</v>
      </c>
      <c r="D167">
        <v>166</v>
      </c>
    </row>
    <row r="168" spans="1:4" x14ac:dyDescent="0.2">
      <c r="A168" s="10" t="s">
        <v>11</v>
      </c>
      <c r="B168" s="10">
        <f>VLOOKUP(przech_odp_druzyny[[#This Row],[Drużyny]],druzyny!A:C,2)</f>
        <v>6</v>
      </c>
      <c r="C168">
        <v>143</v>
      </c>
      <c r="D168">
        <v>167</v>
      </c>
    </row>
    <row r="169" spans="1:4" x14ac:dyDescent="0.2">
      <c r="A169" s="10" t="s">
        <v>31</v>
      </c>
      <c r="B169" s="10">
        <f>VLOOKUP(przech_odp_druzyny[[#This Row],[Drużyny]],druzyny!A:C,2)</f>
        <v>10</v>
      </c>
      <c r="C169">
        <v>143</v>
      </c>
      <c r="D169">
        <v>168</v>
      </c>
    </row>
    <row r="170" spans="1:4" x14ac:dyDescent="0.2">
      <c r="A170" s="10" t="s">
        <v>7</v>
      </c>
      <c r="B170" s="10">
        <f>VLOOKUP(przech_odp_druzyny[[#This Row],[Drużyny]],druzyny!A:C,2)</f>
        <v>16</v>
      </c>
      <c r="C170">
        <v>144</v>
      </c>
      <c r="D170">
        <v>169</v>
      </c>
    </row>
    <row r="171" spans="1:4" x14ac:dyDescent="0.2">
      <c r="A171" s="10" t="s">
        <v>7</v>
      </c>
      <c r="B171" s="10">
        <f>VLOOKUP(przech_odp_druzyny[[#This Row],[Drużyny]],druzyny!A:C,2)</f>
        <v>16</v>
      </c>
      <c r="C171">
        <v>145</v>
      </c>
      <c r="D171">
        <v>170</v>
      </c>
    </row>
    <row r="172" spans="1:4" x14ac:dyDescent="0.2">
      <c r="A172" s="10" t="s">
        <v>43</v>
      </c>
      <c r="B172" s="10">
        <f>VLOOKUP(przech_odp_druzyny[[#This Row],[Drużyny]],druzyny!A:C,2)</f>
        <v>12</v>
      </c>
      <c r="C172">
        <v>146</v>
      </c>
      <c r="D172">
        <v>171</v>
      </c>
    </row>
    <row r="173" spans="1:4" x14ac:dyDescent="0.2">
      <c r="A173" s="10" t="s">
        <v>31</v>
      </c>
      <c r="B173" s="10">
        <f>VLOOKUP(przech_odp_druzyny[[#This Row],[Drużyny]],druzyny!A:C,2)</f>
        <v>10</v>
      </c>
      <c r="C173">
        <v>146</v>
      </c>
      <c r="D173">
        <v>172</v>
      </c>
    </row>
    <row r="174" spans="1:4" x14ac:dyDescent="0.2">
      <c r="A174" s="10" t="s">
        <v>7</v>
      </c>
      <c r="B174" s="10">
        <f>VLOOKUP(przech_odp_druzyny[[#This Row],[Drużyny]],druzyny!A:C,2)</f>
        <v>16</v>
      </c>
      <c r="C174">
        <v>147</v>
      </c>
      <c r="D174">
        <v>173</v>
      </c>
    </row>
    <row r="175" spans="1:4" x14ac:dyDescent="0.2">
      <c r="A175" s="10" t="s">
        <v>37</v>
      </c>
      <c r="B175" s="10">
        <f>VLOOKUP(przech_odp_druzyny[[#This Row],[Drużyny]],druzyny!A:C,2)</f>
        <v>13</v>
      </c>
      <c r="C175">
        <v>148</v>
      </c>
      <c r="D175">
        <v>174</v>
      </c>
    </row>
    <row r="176" spans="1:4" x14ac:dyDescent="0.2">
      <c r="A176" s="10" t="s">
        <v>121</v>
      </c>
      <c r="B176" s="10">
        <f>VLOOKUP(przech_odp_druzyny[[#This Row],[Drużyny]],druzyny!A:C,2)</f>
        <v>19</v>
      </c>
      <c r="C176">
        <v>149</v>
      </c>
      <c r="D176">
        <v>175</v>
      </c>
    </row>
    <row r="177" spans="1:4" x14ac:dyDescent="0.2">
      <c r="A177" s="10" t="s">
        <v>7</v>
      </c>
      <c r="B177" s="10">
        <f>VLOOKUP(przech_odp_druzyny[[#This Row],[Drużyny]],druzyny!A:C,2)</f>
        <v>16</v>
      </c>
      <c r="C177">
        <v>150</v>
      </c>
      <c r="D177">
        <v>176</v>
      </c>
    </row>
    <row r="178" spans="1:4" x14ac:dyDescent="0.2">
      <c r="A178" s="10" t="s">
        <v>7</v>
      </c>
      <c r="B178" s="10">
        <f>VLOOKUP(przech_odp_druzyny[[#This Row],[Drużyny]],druzyny!A:C,2)</f>
        <v>16</v>
      </c>
      <c r="C178">
        <v>151</v>
      </c>
      <c r="D178">
        <v>177</v>
      </c>
    </row>
    <row r="179" spans="1:4" x14ac:dyDescent="0.2">
      <c r="A179" s="10" t="s">
        <v>120</v>
      </c>
      <c r="B179" s="10">
        <f>VLOOKUP(przech_odp_druzyny[[#This Row],[Drużyny]],druzyny!A:C,2)</f>
        <v>2</v>
      </c>
      <c r="C179">
        <v>152</v>
      </c>
      <c r="D179">
        <v>178</v>
      </c>
    </row>
    <row r="180" spans="1:4" x14ac:dyDescent="0.2">
      <c r="A180" s="10" t="s">
        <v>36</v>
      </c>
      <c r="B180" s="10">
        <f>VLOOKUP(przech_odp_druzyny[[#This Row],[Drużyny]],druzyny!A:C,2)</f>
        <v>7</v>
      </c>
      <c r="C180">
        <v>153</v>
      </c>
      <c r="D180">
        <v>179</v>
      </c>
    </row>
    <row r="181" spans="1:4" x14ac:dyDescent="0.2">
      <c r="A181" s="10" t="s">
        <v>11</v>
      </c>
      <c r="B181" s="10">
        <f>VLOOKUP(przech_odp_druzyny[[#This Row],[Drużyny]],druzyny!A:C,2)</f>
        <v>6</v>
      </c>
      <c r="C181">
        <v>153</v>
      </c>
      <c r="D181">
        <v>180</v>
      </c>
    </row>
    <row r="182" spans="1:4" x14ac:dyDescent="0.2">
      <c r="A182" s="10" t="s">
        <v>17</v>
      </c>
      <c r="B182" s="10">
        <f>VLOOKUP(przech_odp_druzyny[[#This Row],[Drużyny]],druzyny!A:C,2)</f>
        <v>20</v>
      </c>
      <c r="C182">
        <v>153</v>
      </c>
      <c r="D182">
        <v>181</v>
      </c>
    </row>
    <row r="183" spans="1:4" x14ac:dyDescent="0.2">
      <c r="A183" s="10" t="s">
        <v>7</v>
      </c>
      <c r="B183" s="10">
        <f>VLOOKUP(przech_odp_druzyny[[#This Row],[Drużyny]],druzyny!A:C,2)</f>
        <v>16</v>
      </c>
      <c r="C183">
        <v>154</v>
      </c>
      <c r="D183">
        <v>182</v>
      </c>
    </row>
    <row r="184" spans="1:4" x14ac:dyDescent="0.2">
      <c r="A184" s="10" t="s">
        <v>11</v>
      </c>
      <c r="B184" s="10">
        <f>VLOOKUP(przech_odp_druzyny[[#This Row],[Drużyny]],druzyny!A:C,2)</f>
        <v>6</v>
      </c>
      <c r="C184">
        <v>155</v>
      </c>
      <c r="D184">
        <v>183</v>
      </c>
    </row>
    <row r="185" spans="1:4" x14ac:dyDescent="0.2">
      <c r="A185" s="10" t="s">
        <v>31</v>
      </c>
      <c r="B185" s="10">
        <f>VLOOKUP(przech_odp_druzyny[[#This Row],[Drużyny]],druzyny!A:C,2)</f>
        <v>10</v>
      </c>
      <c r="C185">
        <v>156</v>
      </c>
      <c r="D185">
        <v>184</v>
      </c>
    </row>
    <row r="186" spans="1:4" x14ac:dyDescent="0.2">
      <c r="A186" s="10" t="s">
        <v>7</v>
      </c>
      <c r="B186" s="10">
        <f>VLOOKUP(przech_odp_druzyny[[#This Row],[Drużyny]],druzyny!A:C,2)</f>
        <v>16</v>
      </c>
      <c r="C186">
        <v>157</v>
      </c>
      <c r="D186">
        <v>185</v>
      </c>
    </row>
    <row r="187" spans="1:4" x14ac:dyDescent="0.2">
      <c r="A187" s="10" t="s">
        <v>7</v>
      </c>
      <c r="B187" s="10">
        <f>VLOOKUP(przech_odp_druzyny[[#This Row],[Drużyny]],druzyny!A:C,2)</f>
        <v>16</v>
      </c>
      <c r="C187">
        <v>158</v>
      </c>
      <c r="D187">
        <v>186</v>
      </c>
    </row>
    <row r="188" spans="1:4" x14ac:dyDescent="0.2">
      <c r="A188" s="10" t="s">
        <v>37</v>
      </c>
      <c r="B188" s="10">
        <f>VLOOKUP(przech_odp_druzyny[[#This Row],[Drużyny]],druzyny!A:C,2)</f>
        <v>13</v>
      </c>
      <c r="C188">
        <v>159</v>
      </c>
      <c r="D188">
        <v>187</v>
      </c>
    </row>
    <row r="189" spans="1:4" x14ac:dyDescent="0.2">
      <c r="A189" s="10" t="s">
        <v>43</v>
      </c>
      <c r="B189" s="10">
        <f>VLOOKUP(przech_odp_druzyny[[#This Row],[Drużyny]],druzyny!A:C,2)</f>
        <v>12</v>
      </c>
      <c r="C189">
        <v>159</v>
      </c>
      <c r="D189">
        <v>188</v>
      </c>
    </row>
    <row r="190" spans="1:4" x14ac:dyDescent="0.2">
      <c r="A190" s="10" t="s">
        <v>31</v>
      </c>
      <c r="B190" s="10">
        <f>VLOOKUP(przech_odp_druzyny[[#This Row],[Drużyny]],druzyny!A:C,2)</f>
        <v>10</v>
      </c>
      <c r="C190">
        <v>159</v>
      </c>
      <c r="D190">
        <v>189</v>
      </c>
    </row>
    <row r="191" spans="1:4" x14ac:dyDescent="0.2">
      <c r="A191" s="10" t="s">
        <v>7</v>
      </c>
      <c r="B191" s="10">
        <f>VLOOKUP(przech_odp_druzyny[[#This Row],[Drużyny]],druzyny!A:C,2)</f>
        <v>16</v>
      </c>
      <c r="C191">
        <v>160</v>
      </c>
      <c r="D191">
        <v>190</v>
      </c>
    </row>
    <row r="192" spans="1:4" x14ac:dyDescent="0.2">
      <c r="A192" s="10" t="s">
        <v>7</v>
      </c>
      <c r="B192" s="10">
        <f>VLOOKUP(przech_odp_druzyny[[#This Row],[Drużyny]],druzyny!A:C,2)</f>
        <v>16</v>
      </c>
      <c r="C192">
        <v>161</v>
      </c>
      <c r="D192">
        <v>191</v>
      </c>
    </row>
    <row r="193" spans="1:4" x14ac:dyDescent="0.2">
      <c r="A193" s="10" t="s">
        <v>122</v>
      </c>
      <c r="B193" s="10">
        <f>VLOOKUP(przech_odp_druzyny[[#This Row],[Drużyny]],druzyny!A:C,2)</f>
        <v>23</v>
      </c>
      <c r="C193">
        <v>162</v>
      </c>
      <c r="D193">
        <v>192</v>
      </c>
    </row>
    <row r="194" spans="1:4" x14ac:dyDescent="0.2">
      <c r="A194" s="10" t="s">
        <v>7</v>
      </c>
      <c r="B194" s="10">
        <f>VLOOKUP(przech_odp_druzyny[[#This Row],[Drużyny]],druzyny!A:C,2)</f>
        <v>16</v>
      </c>
      <c r="C194">
        <v>163</v>
      </c>
      <c r="D194">
        <v>193</v>
      </c>
    </row>
    <row r="195" spans="1:4" x14ac:dyDescent="0.2">
      <c r="A195" s="10" t="s">
        <v>7</v>
      </c>
      <c r="B195" s="10">
        <f>VLOOKUP(przech_odp_druzyny[[#This Row],[Drużyny]],druzyny!A:C,2)</f>
        <v>16</v>
      </c>
      <c r="C195">
        <v>164</v>
      </c>
      <c r="D195">
        <v>194</v>
      </c>
    </row>
    <row r="196" spans="1:4" x14ac:dyDescent="0.2">
      <c r="A196" s="10" t="s">
        <v>122</v>
      </c>
      <c r="B196" s="10">
        <f>VLOOKUP(przech_odp_druzyny[[#This Row],[Drużyny]],druzyny!A:C,2)</f>
        <v>23</v>
      </c>
      <c r="C196">
        <v>165</v>
      </c>
      <c r="D196">
        <v>195</v>
      </c>
    </row>
    <row r="197" spans="1:4" x14ac:dyDescent="0.2">
      <c r="A197" s="10" t="s">
        <v>17</v>
      </c>
      <c r="B197" s="10">
        <f>VLOOKUP(przech_odp_druzyny[[#This Row],[Drużyny]],druzyny!A:C,2)</f>
        <v>20</v>
      </c>
      <c r="C197">
        <v>166</v>
      </c>
      <c r="D197">
        <v>196</v>
      </c>
    </row>
    <row r="198" spans="1:4" x14ac:dyDescent="0.2">
      <c r="A198" s="10" t="s">
        <v>17</v>
      </c>
      <c r="B198" s="10">
        <f>VLOOKUP(przech_odp_druzyny[[#This Row],[Drużyny]],druzyny!A:C,2)</f>
        <v>20</v>
      </c>
      <c r="C198">
        <v>167</v>
      </c>
      <c r="D198">
        <v>197</v>
      </c>
    </row>
    <row r="199" spans="1:4" x14ac:dyDescent="0.2">
      <c r="A199" s="10" t="s">
        <v>7</v>
      </c>
      <c r="B199" s="10">
        <f>VLOOKUP(przech_odp_druzyny[[#This Row],[Drużyny]],druzyny!A:C,2)</f>
        <v>16</v>
      </c>
      <c r="C199">
        <v>168</v>
      </c>
      <c r="D199">
        <v>198</v>
      </c>
    </row>
    <row r="200" spans="1:4" x14ac:dyDescent="0.2">
      <c r="A200" s="10" t="s">
        <v>7</v>
      </c>
      <c r="B200" s="10">
        <f>VLOOKUP(przech_odp_druzyny[[#This Row],[Drużyny]],druzyny!A:C,2)</f>
        <v>16</v>
      </c>
      <c r="C200">
        <v>169</v>
      </c>
      <c r="D200">
        <v>199</v>
      </c>
    </row>
    <row r="201" spans="1:4" x14ac:dyDescent="0.2">
      <c r="A201" s="10" t="s">
        <v>29</v>
      </c>
      <c r="B201" s="10">
        <f>VLOOKUP(przech_odp_druzyny[[#This Row],[Drużyny]],druzyny!A:C,2)</f>
        <v>24</v>
      </c>
      <c r="C201">
        <v>170</v>
      </c>
      <c r="D201">
        <v>200</v>
      </c>
    </row>
    <row r="202" spans="1:4" x14ac:dyDescent="0.2">
      <c r="A202" s="10" t="s">
        <v>122</v>
      </c>
      <c r="B202" s="10">
        <f>VLOOKUP(przech_odp_druzyny[[#This Row],[Drużyny]],druzyny!A:C,2)</f>
        <v>23</v>
      </c>
      <c r="C202">
        <v>171</v>
      </c>
      <c r="D202">
        <v>201</v>
      </c>
    </row>
    <row r="203" spans="1:4" x14ac:dyDescent="0.2">
      <c r="A203" s="10" t="s">
        <v>7</v>
      </c>
      <c r="B203" s="10">
        <f>VLOOKUP(przech_odp_druzyny[[#This Row],[Drużyny]],druzyny!A:C,2)</f>
        <v>16</v>
      </c>
      <c r="C203">
        <v>172</v>
      </c>
      <c r="D203">
        <v>202</v>
      </c>
    </row>
    <row r="204" spans="1:4" x14ac:dyDescent="0.2">
      <c r="A204" s="10" t="s">
        <v>120</v>
      </c>
      <c r="B204" s="10">
        <f>VLOOKUP(przech_odp_druzyny[[#This Row],[Drużyny]],druzyny!A:C,2)</f>
        <v>2</v>
      </c>
      <c r="C204">
        <v>173</v>
      </c>
      <c r="D204">
        <v>203</v>
      </c>
    </row>
    <row r="205" spans="1:4" x14ac:dyDescent="0.2">
      <c r="A205" s="10" t="s">
        <v>7</v>
      </c>
      <c r="B205" s="10">
        <f>VLOOKUP(przech_odp_druzyny[[#This Row],[Drużyny]],druzyny!A:C,2)</f>
        <v>16</v>
      </c>
      <c r="C205">
        <v>174</v>
      </c>
      <c r="D205">
        <v>204</v>
      </c>
    </row>
    <row r="206" spans="1:4" x14ac:dyDescent="0.2">
      <c r="A206" s="10" t="s">
        <v>7</v>
      </c>
      <c r="B206" s="10">
        <f>VLOOKUP(przech_odp_druzyny[[#This Row],[Drużyny]],druzyny!A:C,2)</f>
        <v>16</v>
      </c>
      <c r="C206">
        <v>175</v>
      </c>
      <c r="D206">
        <v>205</v>
      </c>
    </row>
    <row r="207" spans="1:4" x14ac:dyDescent="0.2">
      <c r="A207" s="10" t="s">
        <v>7</v>
      </c>
      <c r="B207" s="10">
        <f>VLOOKUP(przech_odp_druzyny[[#This Row],[Drużyny]],druzyny!A:C,2)</f>
        <v>16</v>
      </c>
      <c r="C207">
        <v>176</v>
      </c>
      <c r="D207">
        <v>206</v>
      </c>
    </row>
    <row r="208" spans="1:4" x14ac:dyDescent="0.2">
      <c r="A208" s="10" t="s">
        <v>7</v>
      </c>
      <c r="B208" s="10">
        <f>VLOOKUP(przech_odp_druzyny[[#This Row],[Drużyny]],druzyny!A:C,2)</f>
        <v>16</v>
      </c>
      <c r="C208">
        <v>177</v>
      </c>
      <c r="D208">
        <v>207</v>
      </c>
    </row>
    <row r="209" spans="1:4" x14ac:dyDescent="0.2">
      <c r="A209" s="10" t="s">
        <v>7</v>
      </c>
      <c r="B209" s="10">
        <f>VLOOKUP(przech_odp_druzyny[[#This Row],[Drużyny]],druzyny!A:C,2)</f>
        <v>16</v>
      </c>
      <c r="C209">
        <v>178</v>
      </c>
      <c r="D209">
        <v>208</v>
      </c>
    </row>
    <row r="210" spans="1:4" x14ac:dyDescent="0.2">
      <c r="A210" s="10" t="s">
        <v>11</v>
      </c>
      <c r="B210" s="10">
        <f>VLOOKUP(przech_odp_druzyny[[#This Row],[Drużyny]],druzyny!A:C,2)</f>
        <v>6</v>
      </c>
      <c r="C210">
        <v>179</v>
      </c>
      <c r="D210">
        <v>209</v>
      </c>
    </row>
    <row r="211" spans="1:4" x14ac:dyDescent="0.2">
      <c r="A211" s="10" t="s">
        <v>7</v>
      </c>
      <c r="B211" s="10">
        <f>VLOOKUP(przech_odp_druzyny[[#This Row],[Drużyny]],druzyny!A:C,2)</f>
        <v>16</v>
      </c>
      <c r="C211">
        <v>180</v>
      </c>
      <c r="D211">
        <v>210</v>
      </c>
    </row>
    <row r="212" spans="1:4" x14ac:dyDescent="0.2">
      <c r="A212" s="10" t="s">
        <v>49</v>
      </c>
      <c r="B212" s="10">
        <f>VLOOKUP(przech_odp_druzyny[[#This Row],[Drużyny]],druzyny!A:C,2)</f>
        <v>1</v>
      </c>
      <c r="C212">
        <v>181</v>
      </c>
      <c r="D212">
        <v>211</v>
      </c>
    </row>
    <row r="213" spans="1:4" x14ac:dyDescent="0.2">
      <c r="A213" s="10" t="s">
        <v>31</v>
      </c>
      <c r="B213" s="10">
        <f>VLOOKUP(przech_odp_druzyny[[#This Row],[Drużyny]],druzyny!A:C,2)</f>
        <v>10</v>
      </c>
      <c r="C213">
        <v>181</v>
      </c>
      <c r="D213">
        <v>212</v>
      </c>
    </row>
    <row r="214" spans="1:4" x14ac:dyDescent="0.2">
      <c r="A214" s="10" t="s">
        <v>49</v>
      </c>
      <c r="B214" s="10">
        <f>VLOOKUP(przech_odp_druzyny[[#This Row],[Drużyny]],druzyny!A:C,2)</f>
        <v>1</v>
      </c>
      <c r="C214">
        <v>182</v>
      </c>
      <c r="D214">
        <v>213</v>
      </c>
    </row>
    <row r="215" spans="1:4" x14ac:dyDescent="0.2">
      <c r="A215" s="10" t="s">
        <v>7</v>
      </c>
      <c r="B215" s="10">
        <f>VLOOKUP(przech_odp_druzyny[[#This Row],[Drużyny]],druzyny!A:C,2)</f>
        <v>16</v>
      </c>
      <c r="C215">
        <v>183</v>
      </c>
      <c r="D215">
        <v>214</v>
      </c>
    </row>
    <row r="216" spans="1:4" x14ac:dyDescent="0.2">
      <c r="A216" s="10" t="s">
        <v>7</v>
      </c>
      <c r="B216" s="10">
        <f>VLOOKUP(przech_odp_druzyny[[#This Row],[Drużyny]],druzyny!A:C,2)</f>
        <v>16</v>
      </c>
      <c r="C216">
        <v>184</v>
      </c>
      <c r="D216">
        <v>215</v>
      </c>
    </row>
    <row r="217" spans="1:4" x14ac:dyDescent="0.2">
      <c r="A217" s="10" t="s">
        <v>122</v>
      </c>
      <c r="B217" s="10">
        <f>VLOOKUP(przech_odp_druzyny[[#This Row],[Drużyny]],druzyny!A:C,2)</f>
        <v>23</v>
      </c>
      <c r="C217">
        <v>185</v>
      </c>
      <c r="D217">
        <v>216</v>
      </c>
    </row>
    <row r="218" spans="1:4" x14ac:dyDescent="0.2">
      <c r="A218" s="10" t="s">
        <v>120</v>
      </c>
      <c r="B218" s="10">
        <f>VLOOKUP(przech_odp_druzyny[[#This Row],[Drużyny]],druzyny!A:C,2)</f>
        <v>2</v>
      </c>
      <c r="C218">
        <v>186</v>
      </c>
      <c r="D218">
        <v>217</v>
      </c>
    </row>
    <row r="219" spans="1:4" x14ac:dyDescent="0.2">
      <c r="A219" s="10" t="s">
        <v>120</v>
      </c>
      <c r="B219" s="10">
        <f>VLOOKUP(przech_odp_druzyny[[#This Row],[Drużyny]],druzyny!A:C,2)</f>
        <v>2</v>
      </c>
      <c r="C219">
        <v>187</v>
      </c>
      <c r="D219">
        <v>218</v>
      </c>
    </row>
    <row r="220" spans="1:4" x14ac:dyDescent="0.2">
      <c r="A220" s="10" t="s">
        <v>122</v>
      </c>
      <c r="B220" s="10">
        <f>VLOOKUP(przech_odp_druzyny[[#This Row],[Drużyny]],druzyny!A:C,2)</f>
        <v>23</v>
      </c>
      <c r="C220">
        <v>188</v>
      </c>
      <c r="D220">
        <v>219</v>
      </c>
    </row>
    <row r="221" spans="1:4" x14ac:dyDescent="0.2">
      <c r="A221" s="10" t="s">
        <v>31</v>
      </c>
      <c r="B221" s="10">
        <f>VLOOKUP(przech_odp_druzyny[[#This Row],[Drużyny]],druzyny!A:C,2)</f>
        <v>10</v>
      </c>
      <c r="C221">
        <v>188</v>
      </c>
      <c r="D221">
        <v>220</v>
      </c>
    </row>
    <row r="222" spans="1:4" x14ac:dyDescent="0.2">
      <c r="A222" s="10" t="s">
        <v>43</v>
      </c>
      <c r="B222" s="10">
        <f>VLOOKUP(przech_odp_druzyny[[#This Row],[Drużyny]],druzyny!A:C,2)</f>
        <v>12</v>
      </c>
      <c r="C222">
        <v>189</v>
      </c>
      <c r="D222">
        <v>221</v>
      </c>
    </row>
    <row r="223" spans="1:4" x14ac:dyDescent="0.2">
      <c r="A223" s="10" t="s">
        <v>17</v>
      </c>
      <c r="B223" s="10">
        <f>VLOOKUP(przech_odp_druzyny[[#This Row],[Drużyny]],druzyny!A:C,2)</f>
        <v>20</v>
      </c>
      <c r="C223">
        <v>190</v>
      </c>
      <c r="D223">
        <v>222</v>
      </c>
    </row>
    <row r="224" spans="1:4" x14ac:dyDescent="0.2">
      <c r="A224" s="10" t="s">
        <v>7</v>
      </c>
      <c r="B224" s="10">
        <f>VLOOKUP(przech_odp_druzyny[[#This Row],[Drużyny]],druzyny!A:C,2)</f>
        <v>16</v>
      </c>
      <c r="C224">
        <v>191</v>
      </c>
      <c r="D224">
        <v>223</v>
      </c>
    </row>
    <row r="225" spans="1:4" x14ac:dyDescent="0.2">
      <c r="A225" s="10" t="s">
        <v>7</v>
      </c>
      <c r="B225" s="10">
        <f>VLOOKUP(przech_odp_druzyny[[#This Row],[Drużyny]],druzyny!A:C,2)</f>
        <v>16</v>
      </c>
      <c r="C225">
        <v>192</v>
      </c>
      <c r="D225">
        <v>224</v>
      </c>
    </row>
    <row r="226" spans="1:4" x14ac:dyDescent="0.2">
      <c r="A226" s="10" t="s">
        <v>122</v>
      </c>
      <c r="B226" s="10">
        <f>VLOOKUP(przech_odp_druzyny[[#This Row],[Drużyny]],druzyny!A:C,2)</f>
        <v>23</v>
      </c>
      <c r="C226">
        <v>193</v>
      </c>
      <c r="D226">
        <v>225</v>
      </c>
    </row>
    <row r="227" spans="1:4" x14ac:dyDescent="0.2">
      <c r="A227" s="10" t="s">
        <v>17</v>
      </c>
      <c r="B227" s="10">
        <f>VLOOKUP(przech_odp_druzyny[[#This Row],[Drużyny]],druzyny!A:C,2)</f>
        <v>20</v>
      </c>
      <c r="C227">
        <v>194</v>
      </c>
      <c r="D227">
        <v>226</v>
      </c>
    </row>
    <row r="228" spans="1:4" x14ac:dyDescent="0.2">
      <c r="A228" s="10" t="s">
        <v>122</v>
      </c>
      <c r="B228" s="10">
        <f>VLOOKUP(przech_odp_druzyny[[#This Row],[Drużyny]],druzyny!A:C,2)</f>
        <v>23</v>
      </c>
      <c r="C228">
        <v>195</v>
      </c>
      <c r="D228">
        <v>227</v>
      </c>
    </row>
    <row r="229" spans="1:4" x14ac:dyDescent="0.2">
      <c r="A229" s="10" t="s">
        <v>43</v>
      </c>
      <c r="B229" s="10">
        <f>VLOOKUP(przech_odp_druzyny[[#This Row],[Drużyny]],druzyny!A:C,2)</f>
        <v>12</v>
      </c>
      <c r="C229">
        <v>196</v>
      </c>
      <c r="D229">
        <v>228</v>
      </c>
    </row>
    <row r="230" spans="1:4" x14ac:dyDescent="0.2">
      <c r="A230" s="10" t="s">
        <v>7</v>
      </c>
      <c r="B230" s="10">
        <f>VLOOKUP(przech_odp_druzyny[[#This Row],[Drużyny]],druzyny!A:C,2)</f>
        <v>16</v>
      </c>
      <c r="C230">
        <v>197</v>
      </c>
      <c r="D230">
        <v>229</v>
      </c>
    </row>
    <row r="231" spans="1:4" x14ac:dyDescent="0.2">
      <c r="A231" s="10" t="s">
        <v>17</v>
      </c>
      <c r="B231" s="10">
        <f>VLOOKUP(przech_odp_druzyny[[#This Row],[Drużyny]],druzyny!A:C,2)</f>
        <v>20</v>
      </c>
      <c r="C231">
        <v>198</v>
      </c>
      <c r="D231">
        <v>230</v>
      </c>
    </row>
    <row r="232" spans="1:4" x14ac:dyDescent="0.2">
      <c r="A232" s="10" t="s">
        <v>7</v>
      </c>
      <c r="B232" s="10">
        <f>VLOOKUP(przech_odp_druzyny[[#This Row],[Drużyny]],druzyny!A:C,2)</f>
        <v>16</v>
      </c>
      <c r="C232">
        <v>199</v>
      </c>
      <c r="D232">
        <v>231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0E065-854E-4BDD-A214-63B682A0680F}">
  <sheetPr codeName="Arkusz3"/>
  <dimension ref="A1:D302"/>
  <sheetViews>
    <sheetView workbookViewId="0">
      <selection activeCell="G19" sqref="G19"/>
    </sheetView>
  </sheetViews>
  <sheetFormatPr defaultRowHeight="12.75" x14ac:dyDescent="0.2"/>
  <cols>
    <col min="1" max="1" width="81.140625" bestFit="1" customWidth="1"/>
    <col min="2" max="2" width="11.85546875" bestFit="1" customWidth="1"/>
    <col min="3" max="3" width="9.42578125" bestFit="1" customWidth="1"/>
    <col min="4" max="4" width="39.7109375" bestFit="1" customWidth="1"/>
  </cols>
  <sheetData>
    <row r="1" spans="1:4" x14ac:dyDescent="0.2">
      <c r="A1" t="s">
        <v>88</v>
      </c>
      <c r="B1" s="11" t="s">
        <v>200</v>
      </c>
      <c r="C1" t="s">
        <v>199</v>
      </c>
      <c r="D1" s="11" t="s">
        <v>209</v>
      </c>
    </row>
    <row r="2" spans="1:4" x14ac:dyDescent="0.2">
      <c r="A2" s="10" t="s">
        <v>47</v>
      </c>
      <c r="B2" s="10">
        <f>VLOOKUP(przech_odp_zainteresowanie_turniej[[#This Row],[Zainteresowanie turniej]],zainteresowanie_turniej!A:C,2)</f>
        <v>3</v>
      </c>
      <c r="C2">
        <v>1</v>
      </c>
      <c r="D2">
        <v>1</v>
      </c>
    </row>
    <row r="3" spans="1:4" x14ac:dyDescent="0.2">
      <c r="A3" s="10" t="s">
        <v>10</v>
      </c>
      <c r="B3" s="10">
        <f>VLOOKUP(przech_odp_zainteresowanie_turniej[[#This Row],[Zainteresowanie turniej]],zainteresowanie_turniej!A:C,2)</f>
        <v>1</v>
      </c>
      <c r="C3">
        <v>1</v>
      </c>
      <c r="D3">
        <v>2</v>
      </c>
    </row>
    <row r="4" spans="1:4" x14ac:dyDescent="0.2">
      <c r="A4" s="10" t="s">
        <v>10</v>
      </c>
      <c r="B4" s="10">
        <f>VLOOKUP(przech_odp_zainteresowanie_turniej[[#This Row],[Zainteresowanie turniej]],zainteresowanie_turniej!A:C,2)</f>
        <v>1</v>
      </c>
      <c r="C4">
        <v>2</v>
      </c>
      <c r="D4">
        <v>3</v>
      </c>
    </row>
    <row r="5" spans="1:4" x14ac:dyDescent="0.2">
      <c r="A5" s="10" t="s">
        <v>25</v>
      </c>
      <c r="B5" s="10">
        <f>VLOOKUP(przech_odp_zainteresowanie_turniej[[#This Row],[Zainteresowanie turniej]],zainteresowanie_turniej!A:C,2)</f>
        <v>4</v>
      </c>
      <c r="C5">
        <v>3</v>
      </c>
      <c r="D5">
        <v>4</v>
      </c>
    </row>
    <row r="6" spans="1:4" x14ac:dyDescent="0.2">
      <c r="A6" s="10" t="s">
        <v>47</v>
      </c>
      <c r="B6" s="10">
        <f>VLOOKUP(przech_odp_zainteresowanie_turniej[[#This Row],[Zainteresowanie turniej]],zainteresowanie_turniej!A:C,2)</f>
        <v>3</v>
      </c>
      <c r="C6">
        <v>3</v>
      </c>
      <c r="D6">
        <v>5</v>
      </c>
    </row>
    <row r="7" spans="1:4" x14ac:dyDescent="0.2">
      <c r="A7" s="10" t="s">
        <v>10</v>
      </c>
      <c r="B7" s="10">
        <f>VLOOKUP(przech_odp_zainteresowanie_turniej[[#This Row],[Zainteresowanie turniej]],zainteresowanie_turniej!A:C,2)</f>
        <v>1</v>
      </c>
      <c r="C7">
        <v>3</v>
      </c>
      <c r="D7">
        <v>6</v>
      </c>
    </row>
    <row r="8" spans="1:4" x14ac:dyDescent="0.2">
      <c r="A8" s="10" t="s">
        <v>6</v>
      </c>
      <c r="B8" s="10">
        <f>VLOOKUP(przech_odp_zainteresowanie_turniej[[#This Row],[Zainteresowanie turniej]],zainteresowanie_turniej!A:C,2)</f>
        <v>2</v>
      </c>
      <c r="C8">
        <v>4</v>
      </c>
      <c r="D8">
        <v>7</v>
      </c>
    </row>
    <row r="9" spans="1:4" x14ac:dyDescent="0.2">
      <c r="A9" s="10" t="s">
        <v>10</v>
      </c>
      <c r="B9" s="10">
        <f>VLOOKUP(przech_odp_zainteresowanie_turniej[[#This Row],[Zainteresowanie turniej]],zainteresowanie_turniej!A:C,2)</f>
        <v>1</v>
      </c>
      <c r="C9">
        <v>5</v>
      </c>
      <c r="D9">
        <v>8</v>
      </c>
    </row>
    <row r="10" spans="1:4" x14ac:dyDescent="0.2">
      <c r="A10" s="10" t="s">
        <v>47</v>
      </c>
      <c r="B10" s="10">
        <f>VLOOKUP(przech_odp_zainteresowanie_turniej[[#This Row],[Zainteresowanie turniej]],zainteresowanie_turniej!A:C,2)</f>
        <v>3</v>
      </c>
      <c r="C10">
        <v>6</v>
      </c>
      <c r="D10">
        <v>9</v>
      </c>
    </row>
    <row r="11" spans="1:4" x14ac:dyDescent="0.2">
      <c r="A11" s="10" t="s">
        <v>10</v>
      </c>
      <c r="B11" s="10">
        <f>VLOOKUP(przech_odp_zainteresowanie_turniej[[#This Row],[Zainteresowanie turniej]],zainteresowanie_turniej!A:C,2)</f>
        <v>1</v>
      </c>
      <c r="C11">
        <v>6</v>
      </c>
      <c r="D11">
        <v>10</v>
      </c>
    </row>
    <row r="12" spans="1:4" x14ac:dyDescent="0.2">
      <c r="A12" s="10" t="s">
        <v>25</v>
      </c>
      <c r="B12" s="10">
        <f>VLOOKUP(przech_odp_zainteresowanie_turniej[[#This Row],[Zainteresowanie turniej]],zainteresowanie_turniej!A:C,2)</f>
        <v>4</v>
      </c>
      <c r="C12">
        <v>7</v>
      </c>
      <c r="D12">
        <v>11</v>
      </c>
    </row>
    <row r="13" spans="1:4" x14ac:dyDescent="0.2">
      <c r="A13" s="10" t="s">
        <v>47</v>
      </c>
      <c r="B13" s="10">
        <f>VLOOKUP(przech_odp_zainteresowanie_turniej[[#This Row],[Zainteresowanie turniej]],zainteresowanie_turniej!A:C,2)</f>
        <v>3</v>
      </c>
      <c r="C13">
        <v>7</v>
      </c>
      <c r="D13">
        <v>12</v>
      </c>
    </row>
    <row r="14" spans="1:4" x14ac:dyDescent="0.2">
      <c r="A14" s="10" t="s">
        <v>10</v>
      </c>
      <c r="B14" s="10">
        <f>VLOOKUP(przech_odp_zainteresowanie_turniej[[#This Row],[Zainteresowanie turniej]],zainteresowanie_turniej!A:C,2)</f>
        <v>1</v>
      </c>
      <c r="C14">
        <v>7</v>
      </c>
      <c r="D14">
        <v>13</v>
      </c>
    </row>
    <row r="15" spans="1:4" x14ac:dyDescent="0.2">
      <c r="A15" s="10" t="s">
        <v>6</v>
      </c>
      <c r="B15" s="10">
        <f>VLOOKUP(przech_odp_zainteresowanie_turniej[[#This Row],[Zainteresowanie turniej]],zainteresowanie_turniej!A:C,2)</f>
        <v>2</v>
      </c>
      <c r="C15">
        <v>8</v>
      </c>
      <c r="D15">
        <v>14</v>
      </c>
    </row>
    <row r="16" spans="1:4" x14ac:dyDescent="0.2">
      <c r="A16" s="10" t="s">
        <v>47</v>
      </c>
      <c r="B16" s="10">
        <f>VLOOKUP(przech_odp_zainteresowanie_turniej[[#This Row],[Zainteresowanie turniej]],zainteresowanie_turniej!A:C,2)</f>
        <v>3</v>
      </c>
      <c r="C16">
        <v>9</v>
      </c>
      <c r="D16">
        <v>15</v>
      </c>
    </row>
    <row r="17" spans="1:4" x14ac:dyDescent="0.2">
      <c r="A17" s="10" t="s">
        <v>10</v>
      </c>
      <c r="B17" s="10">
        <f>VLOOKUP(przech_odp_zainteresowanie_turniej[[#This Row],[Zainteresowanie turniej]],zainteresowanie_turniej!A:C,2)</f>
        <v>1</v>
      </c>
      <c r="C17">
        <v>9</v>
      </c>
      <c r="D17">
        <v>16</v>
      </c>
    </row>
    <row r="18" spans="1:4" x14ac:dyDescent="0.2">
      <c r="A18" s="10" t="s">
        <v>25</v>
      </c>
      <c r="B18" s="10">
        <f>VLOOKUP(przech_odp_zainteresowanie_turniej[[#This Row],[Zainteresowanie turniej]],zainteresowanie_turniej!A:C,2)</f>
        <v>4</v>
      </c>
      <c r="C18">
        <v>10</v>
      </c>
      <c r="D18">
        <v>17</v>
      </c>
    </row>
    <row r="19" spans="1:4" x14ac:dyDescent="0.2">
      <c r="A19" s="10" t="s">
        <v>10</v>
      </c>
      <c r="B19" s="10">
        <f>VLOOKUP(przech_odp_zainteresowanie_turniej[[#This Row],[Zainteresowanie turniej]],zainteresowanie_turniej!A:C,2)</f>
        <v>1</v>
      </c>
      <c r="C19">
        <v>11</v>
      </c>
      <c r="D19">
        <v>18</v>
      </c>
    </row>
    <row r="20" spans="1:4" x14ac:dyDescent="0.2">
      <c r="A20" s="10" t="s">
        <v>25</v>
      </c>
      <c r="B20" s="10">
        <f>VLOOKUP(przech_odp_zainteresowanie_turniej[[#This Row],[Zainteresowanie turniej]],zainteresowanie_turniej!A:C,2)</f>
        <v>4</v>
      </c>
      <c r="C20">
        <v>12</v>
      </c>
      <c r="D20">
        <v>19</v>
      </c>
    </row>
    <row r="21" spans="1:4" x14ac:dyDescent="0.2">
      <c r="A21" s="10" t="s">
        <v>25</v>
      </c>
      <c r="B21" s="10">
        <f>VLOOKUP(przech_odp_zainteresowanie_turniej[[#This Row],[Zainteresowanie turniej]],zainteresowanie_turniej!A:C,2)</f>
        <v>4</v>
      </c>
      <c r="C21">
        <v>13</v>
      </c>
      <c r="D21">
        <v>20</v>
      </c>
    </row>
    <row r="22" spans="1:4" x14ac:dyDescent="0.2">
      <c r="A22" s="10" t="s">
        <v>10</v>
      </c>
      <c r="B22" s="10">
        <f>VLOOKUP(przech_odp_zainteresowanie_turniej[[#This Row],[Zainteresowanie turniej]],zainteresowanie_turniej!A:C,2)</f>
        <v>1</v>
      </c>
      <c r="C22">
        <v>13</v>
      </c>
      <c r="D22">
        <v>21</v>
      </c>
    </row>
    <row r="23" spans="1:4" x14ac:dyDescent="0.2">
      <c r="A23" s="10" t="s">
        <v>10</v>
      </c>
      <c r="B23" s="10">
        <f>VLOOKUP(przech_odp_zainteresowanie_turniej[[#This Row],[Zainteresowanie turniej]],zainteresowanie_turniej!A:C,2)</f>
        <v>1</v>
      </c>
      <c r="C23">
        <v>14</v>
      </c>
      <c r="D23">
        <v>22</v>
      </c>
    </row>
    <row r="24" spans="1:4" x14ac:dyDescent="0.2">
      <c r="A24" s="10" t="s">
        <v>6</v>
      </c>
      <c r="B24" s="10">
        <f>VLOOKUP(przech_odp_zainteresowanie_turniej[[#This Row],[Zainteresowanie turniej]],zainteresowanie_turniej!A:C,2)</f>
        <v>2</v>
      </c>
      <c r="C24">
        <v>15</v>
      </c>
      <c r="D24">
        <v>23</v>
      </c>
    </row>
    <row r="25" spans="1:4" x14ac:dyDescent="0.2">
      <c r="A25" s="10" t="s">
        <v>47</v>
      </c>
      <c r="B25" s="10">
        <f>VLOOKUP(przech_odp_zainteresowanie_turniej[[#This Row],[Zainteresowanie turniej]],zainteresowanie_turniej!A:C,2)</f>
        <v>3</v>
      </c>
      <c r="C25">
        <v>16</v>
      </c>
      <c r="D25">
        <v>24</v>
      </c>
    </row>
    <row r="26" spans="1:4" x14ac:dyDescent="0.2">
      <c r="A26" s="10" t="s">
        <v>6</v>
      </c>
      <c r="B26" s="10">
        <f>VLOOKUP(przech_odp_zainteresowanie_turniej[[#This Row],[Zainteresowanie turniej]],zainteresowanie_turniej!A:C,2)</f>
        <v>2</v>
      </c>
      <c r="C26">
        <v>17</v>
      </c>
      <c r="D26">
        <v>25</v>
      </c>
    </row>
    <row r="27" spans="1:4" x14ac:dyDescent="0.2">
      <c r="A27" s="10" t="s">
        <v>6</v>
      </c>
      <c r="B27" s="10">
        <f>VLOOKUP(przech_odp_zainteresowanie_turniej[[#This Row],[Zainteresowanie turniej]],zainteresowanie_turniej!A:C,2)</f>
        <v>2</v>
      </c>
      <c r="C27">
        <v>18</v>
      </c>
      <c r="D27">
        <v>26</v>
      </c>
    </row>
    <row r="28" spans="1:4" x14ac:dyDescent="0.2">
      <c r="A28" s="10" t="s">
        <v>6</v>
      </c>
      <c r="B28" s="10">
        <f>VLOOKUP(przech_odp_zainteresowanie_turniej[[#This Row],[Zainteresowanie turniej]],zainteresowanie_turniej!A:C,2)</f>
        <v>2</v>
      </c>
      <c r="C28">
        <v>19</v>
      </c>
      <c r="D28">
        <v>27</v>
      </c>
    </row>
    <row r="29" spans="1:4" x14ac:dyDescent="0.2">
      <c r="A29" s="10" t="s">
        <v>6</v>
      </c>
      <c r="B29" s="10">
        <f>VLOOKUP(przech_odp_zainteresowanie_turniej[[#This Row],[Zainteresowanie turniej]],zainteresowanie_turniej!A:C,2)</f>
        <v>2</v>
      </c>
      <c r="C29">
        <v>20</v>
      </c>
      <c r="D29">
        <v>28</v>
      </c>
    </row>
    <row r="30" spans="1:4" x14ac:dyDescent="0.2">
      <c r="A30" s="10" t="s">
        <v>25</v>
      </c>
      <c r="B30" s="10">
        <f>VLOOKUP(przech_odp_zainteresowanie_turniej[[#This Row],[Zainteresowanie turniej]],zainteresowanie_turniej!A:C,2)</f>
        <v>4</v>
      </c>
      <c r="C30">
        <v>21</v>
      </c>
      <c r="D30">
        <v>29</v>
      </c>
    </row>
    <row r="31" spans="1:4" x14ac:dyDescent="0.2">
      <c r="A31" s="10" t="s">
        <v>47</v>
      </c>
      <c r="B31" s="10">
        <f>VLOOKUP(przech_odp_zainteresowanie_turniej[[#This Row],[Zainteresowanie turniej]],zainteresowanie_turniej!A:C,2)</f>
        <v>3</v>
      </c>
      <c r="C31">
        <v>21</v>
      </c>
      <c r="D31">
        <v>30</v>
      </c>
    </row>
    <row r="32" spans="1:4" x14ac:dyDescent="0.2">
      <c r="A32" s="10" t="s">
        <v>10</v>
      </c>
      <c r="B32" s="10">
        <f>VLOOKUP(przech_odp_zainteresowanie_turniej[[#This Row],[Zainteresowanie turniej]],zainteresowanie_turniej!A:C,2)</f>
        <v>1</v>
      </c>
      <c r="C32">
        <v>21</v>
      </c>
      <c r="D32">
        <v>31</v>
      </c>
    </row>
    <row r="33" spans="1:4" x14ac:dyDescent="0.2">
      <c r="A33" s="10" t="s">
        <v>10</v>
      </c>
      <c r="B33" s="10">
        <f>VLOOKUP(przech_odp_zainteresowanie_turniej[[#This Row],[Zainteresowanie turniej]],zainteresowanie_turniej!A:C,2)</f>
        <v>1</v>
      </c>
      <c r="C33">
        <v>22</v>
      </c>
      <c r="D33">
        <v>32</v>
      </c>
    </row>
    <row r="34" spans="1:4" x14ac:dyDescent="0.2">
      <c r="A34" s="10" t="s">
        <v>6</v>
      </c>
      <c r="B34" s="10">
        <f>VLOOKUP(przech_odp_zainteresowanie_turniej[[#This Row],[Zainteresowanie turniej]],zainteresowanie_turniej!A:C,2)</f>
        <v>2</v>
      </c>
      <c r="C34">
        <v>23</v>
      </c>
      <c r="D34">
        <v>33</v>
      </c>
    </row>
    <row r="35" spans="1:4" x14ac:dyDescent="0.2">
      <c r="A35" s="10" t="s">
        <v>10</v>
      </c>
      <c r="B35" s="10">
        <f>VLOOKUP(przech_odp_zainteresowanie_turniej[[#This Row],[Zainteresowanie turniej]],zainteresowanie_turniej!A:C,2)</f>
        <v>1</v>
      </c>
      <c r="C35">
        <v>24</v>
      </c>
      <c r="D35">
        <v>34</v>
      </c>
    </row>
    <row r="36" spans="1:4" x14ac:dyDescent="0.2">
      <c r="A36" s="10" t="s">
        <v>47</v>
      </c>
      <c r="B36" s="10">
        <f>VLOOKUP(przech_odp_zainteresowanie_turniej[[#This Row],[Zainteresowanie turniej]],zainteresowanie_turniej!A:C,2)</f>
        <v>3</v>
      </c>
      <c r="C36">
        <v>25</v>
      </c>
      <c r="D36">
        <v>35</v>
      </c>
    </row>
    <row r="37" spans="1:4" x14ac:dyDescent="0.2">
      <c r="A37" s="10" t="s">
        <v>25</v>
      </c>
      <c r="B37" s="10">
        <f>VLOOKUP(przech_odp_zainteresowanie_turniej[[#This Row],[Zainteresowanie turniej]],zainteresowanie_turniej!A:C,2)</f>
        <v>4</v>
      </c>
      <c r="C37">
        <v>26</v>
      </c>
      <c r="D37">
        <v>36</v>
      </c>
    </row>
    <row r="38" spans="1:4" x14ac:dyDescent="0.2">
      <c r="A38" s="10" t="s">
        <v>25</v>
      </c>
      <c r="B38" s="10">
        <f>VLOOKUP(przech_odp_zainteresowanie_turniej[[#This Row],[Zainteresowanie turniej]],zainteresowanie_turniej!A:C,2)</f>
        <v>4</v>
      </c>
      <c r="C38">
        <v>27</v>
      </c>
      <c r="D38">
        <v>37</v>
      </c>
    </row>
    <row r="39" spans="1:4" x14ac:dyDescent="0.2">
      <c r="A39" s="10" t="s">
        <v>47</v>
      </c>
      <c r="B39" s="10">
        <f>VLOOKUP(przech_odp_zainteresowanie_turniej[[#This Row],[Zainteresowanie turniej]],zainteresowanie_turniej!A:C,2)</f>
        <v>3</v>
      </c>
      <c r="C39">
        <v>27</v>
      </c>
      <c r="D39">
        <v>38</v>
      </c>
    </row>
    <row r="40" spans="1:4" x14ac:dyDescent="0.2">
      <c r="A40" s="10" t="s">
        <v>10</v>
      </c>
      <c r="B40" s="10">
        <f>VLOOKUP(przech_odp_zainteresowanie_turniej[[#This Row],[Zainteresowanie turniej]],zainteresowanie_turniej!A:C,2)</f>
        <v>1</v>
      </c>
      <c r="C40">
        <v>27</v>
      </c>
      <c r="D40">
        <v>39</v>
      </c>
    </row>
    <row r="41" spans="1:4" x14ac:dyDescent="0.2">
      <c r="A41" s="10" t="s">
        <v>10</v>
      </c>
      <c r="B41" s="10">
        <f>VLOOKUP(przech_odp_zainteresowanie_turniej[[#This Row],[Zainteresowanie turniej]],zainteresowanie_turniej!A:C,2)</f>
        <v>1</v>
      </c>
      <c r="C41">
        <v>28</v>
      </c>
      <c r="D41">
        <v>40</v>
      </c>
    </row>
    <row r="42" spans="1:4" x14ac:dyDescent="0.2">
      <c r="A42" s="10" t="s">
        <v>6</v>
      </c>
      <c r="B42" s="10">
        <f>VLOOKUP(przech_odp_zainteresowanie_turniej[[#This Row],[Zainteresowanie turniej]],zainteresowanie_turniej!A:C,2)</f>
        <v>2</v>
      </c>
      <c r="C42">
        <v>29</v>
      </c>
      <c r="D42">
        <v>41</v>
      </c>
    </row>
    <row r="43" spans="1:4" x14ac:dyDescent="0.2">
      <c r="A43" s="10" t="s">
        <v>25</v>
      </c>
      <c r="B43" s="10">
        <f>VLOOKUP(przech_odp_zainteresowanie_turniej[[#This Row],[Zainteresowanie turniej]],zainteresowanie_turniej!A:C,2)</f>
        <v>4</v>
      </c>
      <c r="C43">
        <v>30</v>
      </c>
      <c r="D43">
        <v>42</v>
      </c>
    </row>
    <row r="44" spans="1:4" x14ac:dyDescent="0.2">
      <c r="A44" s="10" t="s">
        <v>47</v>
      </c>
      <c r="B44" s="10">
        <f>VLOOKUP(przech_odp_zainteresowanie_turniej[[#This Row],[Zainteresowanie turniej]],zainteresowanie_turniej!A:C,2)</f>
        <v>3</v>
      </c>
      <c r="C44">
        <v>30</v>
      </c>
      <c r="D44">
        <v>43</v>
      </c>
    </row>
    <row r="45" spans="1:4" x14ac:dyDescent="0.2">
      <c r="A45" s="10" t="s">
        <v>10</v>
      </c>
      <c r="B45" s="10">
        <f>VLOOKUP(przech_odp_zainteresowanie_turniej[[#This Row],[Zainteresowanie turniej]],zainteresowanie_turniej!A:C,2)</f>
        <v>1</v>
      </c>
      <c r="C45">
        <v>30</v>
      </c>
      <c r="D45">
        <v>44</v>
      </c>
    </row>
    <row r="46" spans="1:4" x14ac:dyDescent="0.2">
      <c r="A46" s="10" t="s">
        <v>10</v>
      </c>
      <c r="B46" s="10">
        <f>VLOOKUP(przech_odp_zainteresowanie_turniej[[#This Row],[Zainteresowanie turniej]],zainteresowanie_turniej!A:C,2)</f>
        <v>1</v>
      </c>
      <c r="C46">
        <v>31</v>
      </c>
      <c r="D46">
        <v>45</v>
      </c>
    </row>
    <row r="47" spans="1:4" x14ac:dyDescent="0.2">
      <c r="A47" s="10" t="s">
        <v>25</v>
      </c>
      <c r="B47" s="10">
        <f>VLOOKUP(przech_odp_zainteresowanie_turniej[[#This Row],[Zainteresowanie turniej]],zainteresowanie_turniej!A:C,2)</f>
        <v>4</v>
      </c>
      <c r="C47">
        <v>32</v>
      </c>
      <c r="D47">
        <v>46</v>
      </c>
    </row>
    <row r="48" spans="1:4" x14ac:dyDescent="0.2">
      <c r="A48" s="10" t="s">
        <v>47</v>
      </c>
      <c r="B48" s="10">
        <f>VLOOKUP(przech_odp_zainteresowanie_turniej[[#This Row],[Zainteresowanie turniej]],zainteresowanie_turniej!A:C,2)</f>
        <v>3</v>
      </c>
      <c r="C48">
        <v>32</v>
      </c>
      <c r="D48">
        <v>47</v>
      </c>
    </row>
    <row r="49" spans="1:4" x14ac:dyDescent="0.2">
      <c r="A49" s="10" t="s">
        <v>10</v>
      </c>
      <c r="B49" s="10">
        <f>VLOOKUP(przech_odp_zainteresowanie_turniej[[#This Row],[Zainteresowanie turniej]],zainteresowanie_turniej!A:C,2)</f>
        <v>1</v>
      </c>
      <c r="C49">
        <v>33</v>
      </c>
      <c r="D49">
        <v>48</v>
      </c>
    </row>
    <row r="50" spans="1:4" x14ac:dyDescent="0.2">
      <c r="A50" s="10" t="s">
        <v>25</v>
      </c>
      <c r="B50" s="10">
        <f>VLOOKUP(przech_odp_zainteresowanie_turniej[[#This Row],[Zainteresowanie turniej]],zainteresowanie_turniej!A:C,2)</f>
        <v>4</v>
      </c>
      <c r="C50">
        <v>34</v>
      </c>
      <c r="D50">
        <v>49</v>
      </c>
    </row>
    <row r="51" spans="1:4" x14ac:dyDescent="0.2">
      <c r="A51" s="10" t="s">
        <v>47</v>
      </c>
      <c r="B51" s="10">
        <f>VLOOKUP(przech_odp_zainteresowanie_turniej[[#This Row],[Zainteresowanie turniej]],zainteresowanie_turniej!A:C,2)</f>
        <v>3</v>
      </c>
      <c r="C51">
        <v>34</v>
      </c>
      <c r="D51">
        <v>50</v>
      </c>
    </row>
    <row r="52" spans="1:4" x14ac:dyDescent="0.2">
      <c r="A52" s="10" t="s">
        <v>10</v>
      </c>
      <c r="B52" s="10">
        <f>VLOOKUP(przech_odp_zainteresowanie_turniej[[#This Row],[Zainteresowanie turniej]],zainteresowanie_turniej!A:C,2)</f>
        <v>1</v>
      </c>
      <c r="C52">
        <v>34</v>
      </c>
      <c r="D52">
        <v>51</v>
      </c>
    </row>
    <row r="53" spans="1:4" x14ac:dyDescent="0.2">
      <c r="A53" s="10" t="s">
        <v>25</v>
      </c>
      <c r="B53" s="10">
        <f>VLOOKUP(przech_odp_zainteresowanie_turniej[[#This Row],[Zainteresowanie turniej]],zainteresowanie_turniej!A:C,2)</f>
        <v>4</v>
      </c>
      <c r="C53">
        <v>35</v>
      </c>
      <c r="D53">
        <v>52</v>
      </c>
    </row>
    <row r="54" spans="1:4" x14ac:dyDescent="0.2">
      <c r="A54" s="10" t="s">
        <v>47</v>
      </c>
      <c r="B54" s="10">
        <f>VLOOKUP(przech_odp_zainteresowanie_turniej[[#This Row],[Zainteresowanie turniej]],zainteresowanie_turniej!A:C,2)</f>
        <v>3</v>
      </c>
      <c r="C54">
        <v>35</v>
      </c>
      <c r="D54">
        <v>53</v>
      </c>
    </row>
    <row r="55" spans="1:4" x14ac:dyDescent="0.2">
      <c r="A55" s="10" t="s">
        <v>47</v>
      </c>
      <c r="B55" s="10">
        <f>VLOOKUP(przech_odp_zainteresowanie_turniej[[#This Row],[Zainteresowanie turniej]],zainteresowanie_turniej!A:C,2)</f>
        <v>3</v>
      </c>
      <c r="C55">
        <v>36</v>
      </c>
      <c r="D55">
        <v>54</v>
      </c>
    </row>
    <row r="56" spans="1:4" x14ac:dyDescent="0.2">
      <c r="A56" s="10" t="s">
        <v>25</v>
      </c>
      <c r="B56" s="10">
        <f>VLOOKUP(przech_odp_zainteresowanie_turniej[[#This Row],[Zainteresowanie turniej]],zainteresowanie_turniej!A:C,2)</f>
        <v>4</v>
      </c>
      <c r="C56">
        <v>37</v>
      </c>
      <c r="D56">
        <v>55</v>
      </c>
    </row>
    <row r="57" spans="1:4" x14ac:dyDescent="0.2">
      <c r="A57" s="10" t="s">
        <v>47</v>
      </c>
      <c r="B57" s="10">
        <f>VLOOKUP(przech_odp_zainteresowanie_turniej[[#This Row],[Zainteresowanie turniej]],zainteresowanie_turniej!A:C,2)</f>
        <v>3</v>
      </c>
      <c r="C57">
        <v>37</v>
      </c>
      <c r="D57">
        <v>56</v>
      </c>
    </row>
    <row r="58" spans="1:4" x14ac:dyDescent="0.2">
      <c r="A58" s="10" t="s">
        <v>10</v>
      </c>
      <c r="B58" s="10">
        <f>VLOOKUP(przech_odp_zainteresowanie_turniej[[#This Row],[Zainteresowanie turniej]],zainteresowanie_turniej!A:C,2)</f>
        <v>1</v>
      </c>
      <c r="C58">
        <v>37</v>
      </c>
      <c r="D58">
        <v>57</v>
      </c>
    </row>
    <row r="59" spans="1:4" x14ac:dyDescent="0.2">
      <c r="A59" s="10" t="s">
        <v>47</v>
      </c>
      <c r="B59" s="10">
        <f>VLOOKUP(przech_odp_zainteresowanie_turniej[[#This Row],[Zainteresowanie turniej]],zainteresowanie_turniej!A:C,2)</f>
        <v>3</v>
      </c>
      <c r="C59">
        <v>38</v>
      </c>
      <c r="D59">
        <v>58</v>
      </c>
    </row>
    <row r="60" spans="1:4" x14ac:dyDescent="0.2">
      <c r="A60" s="10" t="s">
        <v>10</v>
      </c>
      <c r="B60" s="10">
        <f>VLOOKUP(przech_odp_zainteresowanie_turniej[[#This Row],[Zainteresowanie turniej]],zainteresowanie_turniej!A:C,2)</f>
        <v>1</v>
      </c>
      <c r="C60">
        <v>38</v>
      </c>
      <c r="D60">
        <v>59</v>
      </c>
    </row>
    <row r="61" spans="1:4" x14ac:dyDescent="0.2">
      <c r="A61" s="10" t="s">
        <v>25</v>
      </c>
      <c r="B61" s="10">
        <f>VLOOKUP(przech_odp_zainteresowanie_turniej[[#This Row],[Zainteresowanie turniej]],zainteresowanie_turniej!A:C,2)</f>
        <v>4</v>
      </c>
      <c r="C61">
        <v>39</v>
      </c>
      <c r="D61">
        <v>60</v>
      </c>
    </row>
    <row r="62" spans="1:4" x14ac:dyDescent="0.2">
      <c r="A62" s="10" t="s">
        <v>47</v>
      </c>
      <c r="B62" s="10">
        <f>VLOOKUP(przech_odp_zainteresowanie_turniej[[#This Row],[Zainteresowanie turniej]],zainteresowanie_turniej!A:C,2)</f>
        <v>3</v>
      </c>
      <c r="C62">
        <v>39</v>
      </c>
      <c r="D62">
        <v>61</v>
      </c>
    </row>
    <row r="63" spans="1:4" x14ac:dyDescent="0.2">
      <c r="A63" s="10" t="s">
        <v>10</v>
      </c>
      <c r="B63" s="10">
        <f>VLOOKUP(przech_odp_zainteresowanie_turniej[[#This Row],[Zainteresowanie turniej]],zainteresowanie_turniej!A:C,2)</f>
        <v>1</v>
      </c>
      <c r="C63">
        <v>39</v>
      </c>
      <c r="D63">
        <v>62</v>
      </c>
    </row>
    <row r="64" spans="1:4" x14ac:dyDescent="0.2">
      <c r="A64" s="10" t="s">
        <v>10</v>
      </c>
      <c r="B64" s="10">
        <f>VLOOKUP(przech_odp_zainteresowanie_turniej[[#This Row],[Zainteresowanie turniej]],zainteresowanie_turniej!A:C,2)</f>
        <v>1</v>
      </c>
      <c r="C64">
        <v>40</v>
      </c>
      <c r="D64">
        <v>63</v>
      </c>
    </row>
    <row r="65" spans="1:4" x14ac:dyDescent="0.2">
      <c r="A65" s="10" t="s">
        <v>10</v>
      </c>
      <c r="B65" s="10">
        <f>VLOOKUP(przech_odp_zainteresowanie_turniej[[#This Row],[Zainteresowanie turniej]],zainteresowanie_turniej!A:C,2)</f>
        <v>1</v>
      </c>
      <c r="C65">
        <v>41</v>
      </c>
      <c r="D65">
        <v>64</v>
      </c>
    </row>
    <row r="66" spans="1:4" x14ac:dyDescent="0.2">
      <c r="A66" s="10" t="s">
        <v>10</v>
      </c>
      <c r="B66" s="10">
        <f>VLOOKUP(przech_odp_zainteresowanie_turniej[[#This Row],[Zainteresowanie turniej]],zainteresowanie_turniej!A:C,2)</f>
        <v>1</v>
      </c>
      <c r="C66">
        <v>42</v>
      </c>
      <c r="D66">
        <v>65</v>
      </c>
    </row>
    <row r="67" spans="1:4" x14ac:dyDescent="0.2">
      <c r="A67" s="10" t="s">
        <v>10</v>
      </c>
      <c r="B67" s="10">
        <f>VLOOKUP(przech_odp_zainteresowanie_turniej[[#This Row],[Zainteresowanie turniej]],zainteresowanie_turniej!A:C,2)</f>
        <v>1</v>
      </c>
      <c r="C67">
        <v>43</v>
      </c>
      <c r="D67">
        <v>66</v>
      </c>
    </row>
    <row r="68" spans="1:4" x14ac:dyDescent="0.2">
      <c r="A68" s="10" t="s">
        <v>6</v>
      </c>
      <c r="B68" s="10">
        <f>VLOOKUP(przech_odp_zainteresowanie_turniej[[#This Row],[Zainteresowanie turniej]],zainteresowanie_turniej!A:C,2)</f>
        <v>2</v>
      </c>
      <c r="C68">
        <v>44</v>
      </c>
      <c r="D68">
        <v>67</v>
      </c>
    </row>
    <row r="69" spans="1:4" x14ac:dyDescent="0.2">
      <c r="A69" s="10" t="s">
        <v>6</v>
      </c>
      <c r="B69" s="10">
        <f>VLOOKUP(przech_odp_zainteresowanie_turniej[[#This Row],[Zainteresowanie turniej]],zainteresowanie_turniej!A:C,2)</f>
        <v>2</v>
      </c>
      <c r="C69">
        <v>45</v>
      </c>
      <c r="D69">
        <v>68</v>
      </c>
    </row>
    <row r="70" spans="1:4" x14ac:dyDescent="0.2">
      <c r="A70" s="10" t="s">
        <v>25</v>
      </c>
      <c r="B70" s="10">
        <f>VLOOKUP(przech_odp_zainteresowanie_turniej[[#This Row],[Zainteresowanie turniej]],zainteresowanie_turniej!A:C,2)</f>
        <v>4</v>
      </c>
      <c r="C70">
        <v>46</v>
      </c>
      <c r="D70">
        <v>69</v>
      </c>
    </row>
    <row r="71" spans="1:4" x14ac:dyDescent="0.2">
      <c r="A71" s="10" t="s">
        <v>47</v>
      </c>
      <c r="B71" s="10">
        <f>VLOOKUP(przech_odp_zainteresowanie_turniej[[#This Row],[Zainteresowanie turniej]],zainteresowanie_turniej!A:C,2)</f>
        <v>3</v>
      </c>
      <c r="C71">
        <v>46</v>
      </c>
      <c r="D71">
        <v>70</v>
      </c>
    </row>
    <row r="72" spans="1:4" x14ac:dyDescent="0.2">
      <c r="A72" s="10" t="s">
        <v>10</v>
      </c>
      <c r="B72" s="10">
        <f>VLOOKUP(przech_odp_zainteresowanie_turniej[[#This Row],[Zainteresowanie turniej]],zainteresowanie_turniej!A:C,2)</f>
        <v>1</v>
      </c>
      <c r="C72">
        <v>46</v>
      </c>
      <c r="D72">
        <v>71</v>
      </c>
    </row>
    <row r="73" spans="1:4" x14ac:dyDescent="0.2">
      <c r="A73" s="10" t="s">
        <v>47</v>
      </c>
      <c r="B73" s="10">
        <f>VLOOKUP(przech_odp_zainteresowanie_turniej[[#This Row],[Zainteresowanie turniej]],zainteresowanie_turniej!A:C,2)</f>
        <v>3</v>
      </c>
      <c r="C73">
        <v>47</v>
      </c>
      <c r="D73">
        <v>72</v>
      </c>
    </row>
    <row r="74" spans="1:4" x14ac:dyDescent="0.2">
      <c r="A74" s="10" t="s">
        <v>10</v>
      </c>
      <c r="B74" s="10">
        <f>VLOOKUP(przech_odp_zainteresowanie_turniej[[#This Row],[Zainteresowanie turniej]],zainteresowanie_turniej!A:C,2)</f>
        <v>1</v>
      </c>
      <c r="C74">
        <v>47</v>
      </c>
      <c r="D74">
        <v>73</v>
      </c>
    </row>
    <row r="75" spans="1:4" x14ac:dyDescent="0.2">
      <c r="A75" s="10" t="s">
        <v>6</v>
      </c>
      <c r="B75" s="10">
        <f>VLOOKUP(przech_odp_zainteresowanie_turniej[[#This Row],[Zainteresowanie turniej]],zainteresowanie_turniej!A:C,2)</f>
        <v>2</v>
      </c>
      <c r="C75">
        <v>48</v>
      </c>
      <c r="D75">
        <v>74</v>
      </c>
    </row>
    <row r="76" spans="1:4" x14ac:dyDescent="0.2">
      <c r="A76" s="10" t="s">
        <v>25</v>
      </c>
      <c r="B76" s="10">
        <f>VLOOKUP(przech_odp_zainteresowanie_turniej[[#This Row],[Zainteresowanie turniej]],zainteresowanie_turniej!A:C,2)</f>
        <v>4</v>
      </c>
      <c r="C76">
        <v>49</v>
      </c>
      <c r="D76">
        <v>75</v>
      </c>
    </row>
    <row r="77" spans="1:4" x14ac:dyDescent="0.2">
      <c r="A77" s="10" t="s">
        <v>25</v>
      </c>
      <c r="B77" s="10">
        <f>VLOOKUP(przech_odp_zainteresowanie_turniej[[#This Row],[Zainteresowanie turniej]],zainteresowanie_turniej!A:C,2)</f>
        <v>4</v>
      </c>
      <c r="C77">
        <v>50</v>
      </c>
      <c r="D77">
        <v>76</v>
      </c>
    </row>
    <row r="78" spans="1:4" x14ac:dyDescent="0.2">
      <c r="A78" s="10" t="s">
        <v>47</v>
      </c>
      <c r="B78" s="10">
        <f>VLOOKUP(przech_odp_zainteresowanie_turniej[[#This Row],[Zainteresowanie turniej]],zainteresowanie_turniej!A:C,2)</f>
        <v>3</v>
      </c>
      <c r="C78">
        <v>50</v>
      </c>
      <c r="D78">
        <v>77</v>
      </c>
    </row>
    <row r="79" spans="1:4" x14ac:dyDescent="0.2">
      <c r="A79" s="10" t="s">
        <v>10</v>
      </c>
      <c r="B79" s="10">
        <f>VLOOKUP(przech_odp_zainteresowanie_turniej[[#This Row],[Zainteresowanie turniej]],zainteresowanie_turniej!A:C,2)</f>
        <v>1</v>
      </c>
      <c r="C79">
        <v>50</v>
      </c>
      <c r="D79">
        <v>78</v>
      </c>
    </row>
    <row r="80" spans="1:4" x14ac:dyDescent="0.2">
      <c r="A80" s="10" t="s">
        <v>47</v>
      </c>
      <c r="B80" s="10">
        <f>VLOOKUP(przech_odp_zainteresowanie_turniej[[#This Row],[Zainteresowanie turniej]],zainteresowanie_turniej!A:C,2)</f>
        <v>3</v>
      </c>
      <c r="C80">
        <v>51</v>
      </c>
      <c r="D80">
        <v>79</v>
      </c>
    </row>
    <row r="81" spans="1:4" x14ac:dyDescent="0.2">
      <c r="A81" s="10" t="s">
        <v>10</v>
      </c>
      <c r="B81" s="10">
        <f>VLOOKUP(przech_odp_zainteresowanie_turniej[[#This Row],[Zainteresowanie turniej]],zainteresowanie_turniej!A:C,2)</f>
        <v>1</v>
      </c>
      <c r="C81">
        <v>51</v>
      </c>
      <c r="D81">
        <v>80</v>
      </c>
    </row>
    <row r="82" spans="1:4" x14ac:dyDescent="0.2">
      <c r="A82" s="10" t="s">
        <v>25</v>
      </c>
      <c r="B82" s="10">
        <f>VLOOKUP(przech_odp_zainteresowanie_turniej[[#This Row],[Zainteresowanie turniej]],zainteresowanie_turniej!A:C,2)</f>
        <v>4</v>
      </c>
      <c r="C82">
        <v>52</v>
      </c>
      <c r="D82">
        <v>81</v>
      </c>
    </row>
    <row r="83" spans="1:4" x14ac:dyDescent="0.2">
      <c r="A83" s="10" t="s">
        <v>10</v>
      </c>
      <c r="B83" s="10">
        <f>VLOOKUP(przech_odp_zainteresowanie_turniej[[#This Row],[Zainteresowanie turniej]],zainteresowanie_turniej!A:C,2)</f>
        <v>1</v>
      </c>
      <c r="C83">
        <v>52</v>
      </c>
      <c r="D83">
        <v>82</v>
      </c>
    </row>
    <row r="84" spans="1:4" x14ac:dyDescent="0.2">
      <c r="A84" s="10" t="s">
        <v>10</v>
      </c>
      <c r="B84" s="10">
        <f>VLOOKUP(przech_odp_zainteresowanie_turniej[[#This Row],[Zainteresowanie turniej]],zainteresowanie_turniej!A:C,2)</f>
        <v>1</v>
      </c>
      <c r="C84">
        <v>53</v>
      </c>
      <c r="D84">
        <v>83</v>
      </c>
    </row>
    <row r="85" spans="1:4" x14ac:dyDescent="0.2">
      <c r="A85" s="10" t="s">
        <v>6</v>
      </c>
      <c r="B85" s="10">
        <f>VLOOKUP(przech_odp_zainteresowanie_turniej[[#This Row],[Zainteresowanie turniej]],zainteresowanie_turniej!A:C,2)</f>
        <v>2</v>
      </c>
      <c r="C85">
        <v>54</v>
      </c>
      <c r="D85">
        <v>84</v>
      </c>
    </row>
    <row r="86" spans="1:4" x14ac:dyDescent="0.2">
      <c r="A86" s="10" t="s">
        <v>10</v>
      </c>
      <c r="B86" s="10">
        <f>VLOOKUP(przech_odp_zainteresowanie_turniej[[#This Row],[Zainteresowanie turniej]],zainteresowanie_turniej!A:C,2)</f>
        <v>1</v>
      </c>
      <c r="C86">
        <v>55</v>
      </c>
      <c r="D86">
        <v>85</v>
      </c>
    </row>
    <row r="87" spans="1:4" x14ac:dyDescent="0.2">
      <c r="A87" s="10" t="s">
        <v>25</v>
      </c>
      <c r="B87" s="10">
        <f>VLOOKUP(przech_odp_zainteresowanie_turniej[[#This Row],[Zainteresowanie turniej]],zainteresowanie_turniej!A:C,2)</f>
        <v>4</v>
      </c>
      <c r="C87">
        <v>56</v>
      </c>
      <c r="D87">
        <v>86</v>
      </c>
    </row>
    <row r="88" spans="1:4" x14ac:dyDescent="0.2">
      <c r="A88" s="10" t="s">
        <v>47</v>
      </c>
      <c r="B88" s="10">
        <f>VLOOKUP(przech_odp_zainteresowanie_turniej[[#This Row],[Zainteresowanie turniej]],zainteresowanie_turniej!A:C,2)</f>
        <v>3</v>
      </c>
      <c r="C88">
        <v>56</v>
      </c>
      <c r="D88">
        <v>87</v>
      </c>
    </row>
    <row r="89" spans="1:4" x14ac:dyDescent="0.2">
      <c r="A89" s="10" t="s">
        <v>10</v>
      </c>
      <c r="B89" s="10">
        <f>VLOOKUP(przech_odp_zainteresowanie_turniej[[#This Row],[Zainteresowanie turniej]],zainteresowanie_turniej!A:C,2)</f>
        <v>1</v>
      </c>
      <c r="C89">
        <v>56</v>
      </c>
      <c r="D89">
        <v>88</v>
      </c>
    </row>
    <row r="90" spans="1:4" x14ac:dyDescent="0.2">
      <c r="A90" s="10" t="s">
        <v>6</v>
      </c>
      <c r="B90" s="10">
        <f>VLOOKUP(przech_odp_zainteresowanie_turniej[[#This Row],[Zainteresowanie turniej]],zainteresowanie_turniej!A:C,2)</f>
        <v>2</v>
      </c>
      <c r="C90">
        <v>57</v>
      </c>
      <c r="D90">
        <v>89</v>
      </c>
    </row>
    <row r="91" spans="1:4" x14ac:dyDescent="0.2">
      <c r="A91" s="10" t="s">
        <v>10</v>
      </c>
      <c r="B91" s="10">
        <f>VLOOKUP(przech_odp_zainteresowanie_turniej[[#This Row],[Zainteresowanie turniej]],zainteresowanie_turniej!A:C,2)</f>
        <v>1</v>
      </c>
      <c r="C91">
        <v>58</v>
      </c>
      <c r="D91">
        <v>90</v>
      </c>
    </row>
    <row r="92" spans="1:4" x14ac:dyDescent="0.2">
      <c r="A92" s="10" t="s">
        <v>25</v>
      </c>
      <c r="B92" s="10">
        <f>VLOOKUP(przech_odp_zainteresowanie_turniej[[#This Row],[Zainteresowanie turniej]],zainteresowanie_turniej!A:C,2)</f>
        <v>4</v>
      </c>
      <c r="C92">
        <v>59</v>
      </c>
      <c r="D92">
        <v>91</v>
      </c>
    </row>
    <row r="93" spans="1:4" x14ac:dyDescent="0.2">
      <c r="A93" s="10" t="s">
        <v>47</v>
      </c>
      <c r="B93" s="10">
        <f>VLOOKUP(przech_odp_zainteresowanie_turniej[[#This Row],[Zainteresowanie turniej]],zainteresowanie_turniej!A:C,2)</f>
        <v>3</v>
      </c>
      <c r="C93">
        <v>59</v>
      </c>
      <c r="D93">
        <v>92</v>
      </c>
    </row>
    <row r="94" spans="1:4" x14ac:dyDescent="0.2">
      <c r="A94" s="10" t="s">
        <v>10</v>
      </c>
      <c r="B94" s="10">
        <f>VLOOKUP(przech_odp_zainteresowanie_turniej[[#This Row],[Zainteresowanie turniej]],zainteresowanie_turniej!A:C,2)</f>
        <v>1</v>
      </c>
      <c r="C94">
        <v>59</v>
      </c>
      <c r="D94">
        <v>93</v>
      </c>
    </row>
    <row r="95" spans="1:4" x14ac:dyDescent="0.2">
      <c r="A95" s="10" t="s">
        <v>47</v>
      </c>
      <c r="B95" s="10">
        <f>VLOOKUP(przech_odp_zainteresowanie_turniej[[#This Row],[Zainteresowanie turniej]],zainteresowanie_turniej!A:C,2)</f>
        <v>3</v>
      </c>
      <c r="C95">
        <v>60</v>
      </c>
      <c r="D95">
        <v>94</v>
      </c>
    </row>
    <row r="96" spans="1:4" x14ac:dyDescent="0.2">
      <c r="A96" s="10" t="s">
        <v>6</v>
      </c>
      <c r="B96" s="10">
        <f>VLOOKUP(przech_odp_zainteresowanie_turniej[[#This Row],[Zainteresowanie turniej]],zainteresowanie_turniej!A:C,2)</f>
        <v>2</v>
      </c>
      <c r="C96">
        <v>61</v>
      </c>
      <c r="D96">
        <v>95</v>
      </c>
    </row>
    <row r="97" spans="1:4" x14ac:dyDescent="0.2">
      <c r="A97" s="10" t="s">
        <v>10</v>
      </c>
      <c r="B97" s="10">
        <f>VLOOKUP(przech_odp_zainteresowanie_turniej[[#This Row],[Zainteresowanie turniej]],zainteresowanie_turniej!A:C,2)</f>
        <v>1</v>
      </c>
      <c r="C97">
        <v>62</v>
      </c>
      <c r="D97">
        <v>96</v>
      </c>
    </row>
    <row r="98" spans="1:4" x14ac:dyDescent="0.2">
      <c r="A98" s="10" t="s">
        <v>6</v>
      </c>
      <c r="B98" s="10">
        <f>VLOOKUP(przech_odp_zainteresowanie_turniej[[#This Row],[Zainteresowanie turniej]],zainteresowanie_turniej!A:C,2)</f>
        <v>2</v>
      </c>
      <c r="C98">
        <v>63</v>
      </c>
      <c r="D98">
        <v>97</v>
      </c>
    </row>
    <row r="99" spans="1:4" x14ac:dyDescent="0.2">
      <c r="A99" s="10" t="s">
        <v>25</v>
      </c>
      <c r="B99" s="10">
        <f>VLOOKUP(przech_odp_zainteresowanie_turniej[[#This Row],[Zainteresowanie turniej]],zainteresowanie_turniej!A:C,2)</f>
        <v>4</v>
      </c>
      <c r="C99">
        <v>64</v>
      </c>
      <c r="D99">
        <v>98</v>
      </c>
    </row>
    <row r="100" spans="1:4" x14ac:dyDescent="0.2">
      <c r="A100" s="10" t="s">
        <v>10</v>
      </c>
      <c r="B100" s="10">
        <f>VLOOKUP(przech_odp_zainteresowanie_turniej[[#This Row],[Zainteresowanie turniej]],zainteresowanie_turniej!A:C,2)</f>
        <v>1</v>
      </c>
      <c r="C100">
        <v>65</v>
      </c>
      <c r="D100">
        <v>99</v>
      </c>
    </row>
    <row r="101" spans="1:4" x14ac:dyDescent="0.2">
      <c r="A101" s="10" t="s">
        <v>25</v>
      </c>
      <c r="B101" s="10">
        <f>VLOOKUP(przech_odp_zainteresowanie_turniej[[#This Row],[Zainteresowanie turniej]],zainteresowanie_turniej!A:C,2)</f>
        <v>4</v>
      </c>
      <c r="C101">
        <v>66</v>
      </c>
      <c r="D101">
        <v>100</v>
      </c>
    </row>
    <row r="102" spans="1:4" x14ac:dyDescent="0.2">
      <c r="A102" s="10" t="s">
        <v>47</v>
      </c>
      <c r="B102" s="10">
        <f>VLOOKUP(przech_odp_zainteresowanie_turniej[[#This Row],[Zainteresowanie turniej]],zainteresowanie_turniej!A:C,2)</f>
        <v>3</v>
      </c>
      <c r="C102">
        <v>66</v>
      </c>
      <c r="D102">
        <v>101</v>
      </c>
    </row>
    <row r="103" spans="1:4" x14ac:dyDescent="0.2">
      <c r="A103" s="10" t="s">
        <v>10</v>
      </c>
      <c r="B103" s="10">
        <f>VLOOKUP(przech_odp_zainteresowanie_turniej[[#This Row],[Zainteresowanie turniej]],zainteresowanie_turniej!A:C,2)</f>
        <v>1</v>
      </c>
      <c r="C103">
        <v>66</v>
      </c>
      <c r="D103">
        <v>102</v>
      </c>
    </row>
    <row r="104" spans="1:4" x14ac:dyDescent="0.2">
      <c r="A104" s="10" t="s">
        <v>25</v>
      </c>
      <c r="B104" s="10">
        <f>VLOOKUP(przech_odp_zainteresowanie_turniej[[#This Row],[Zainteresowanie turniej]],zainteresowanie_turniej!A:C,2)</f>
        <v>4</v>
      </c>
      <c r="C104">
        <v>67</v>
      </c>
      <c r="D104">
        <v>103</v>
      </c>
    </row>
    <row r="105" spans="1:4" x14ac:dyDescent="0.2">
      <c r="A105" s="10" t="s">
        <v>47</v>
      </c>
      <c r="B105" s="10">
        <f>VLOOKUP(przech_odp_zainteresowanie_turniej[[#This Row],[Zainteresowanie turniej]],zainteresowanie_turniej!A:C,2)</f>
        <v>3</v>
      </c>
      <c r="C105">
        <v>67</v>
      </c>
      <c r="D105">
        <v>104</v>
      </c>
    </row>
    <row r="106" spans="1:4" x14ac:dyDescent="0.2">
      <c r="A106" s="10" t="s">
        <v>6</v>
      </c>
      <c r="B106" s="10">
        <f>VLOOKUP(przech_odp_zainteresowanie_turniej[[#This Row],[Zainteresowanie turniej]],zainteresowanie_turniej!A:C,2)</f>
        <v>2</v>
      </c>
      <c r="C106">
        <v>68</v>
      </c>
      <c r="D106">
        <v>105</v>
      </c>
    </row>
    <row r="107" spans="1:4" x14ac:dyDescent="0.2">
      <c r="A107" s="10" t="s">
        <v>6</v>
      </c>
      <c r="B107" s="10">
        <f>VLOOKUP(przech_odp_zainteresowanie_turniej[[#This Row],[Zainteresowanie turniej]],zainteresowanie_turniej!A:C,2)</f>
        <v>2</v>
      </c>
      <c r="C107">
        <v>69</v>
      </c>
      <c r="D107">
        <v>106</v>
      </c>
    </row>
    <row r="108" spans="1:4" x14ac:dyDescent="0.2">
      <c r="A108" s="10" t="s">
        <v>6</v>
      </c>
      <c r="B108" s="10">
        <f>VLOOKUP(przech_odp_zainteresowanie_turniej[[#This Row],[Zainteresowanie turniej]],zainteresowanie_turniej!A:C,2)</f>
        <v>2</v>
      </c>
      <c r="C108">
        <v>70</v>
      </c>
      <c r="D108">
        <v>107</v>
      </c>
    </row>
    <row r="109" spans="1:4" x14ac:dyDescent="0.2">
      <c r="A109" s="10" t="s">
        <v>10</v>
      </c>
      <c r="B109" s="10">
        <f>VLOOKUP(przech_odp_zainteresowanie_turniej[[#This Row],[Zainteresowanie turniej]],zainteresowanie_turniej!A:C,2)</f>
        <v>1</v>
      </c>
      <c r="C109">
        <v>71</v>
      </c>
      <c r="D109">
        <v>108</v>
      </c>
    </row>
    <row r="110" spans="1:4" x14ac:dyDescent="0.2">
      <c r="A110" s="10" t="s">
        <v>25</v>
      </c>
      <c r="B110" s="10">
        <f>VLOOKUP(przech_odp_zainteresowanie_turniej[[#This Row],[Zainteresowanie turniej]],zainteresowanie_turniej!A:C,2)</f>
        <v>4</v>
      </c>
      <c r="C110">
        <v>72</v>
      </c>
      <c r="D110">
        <v>109</v>
      </c>
    </row>
    <row r="111" spans="1:4" x14ac:dyDescent="0.2">
      <c r="A111" s="10" t="s">
        <v>47</v>
      </c>
      <c r="B111" s="10">
        <f>VLOOKUP(przech_odp_zainteresowanie_turniej[[#This Row],[Zainteresowanie turniej]],zainteresowanie_turniej!A:C,2)</f>
        <v>3</v>
      </c>
      <c r="C111">
        <v>72</v>
      </c>
      <c r="D111">
        <v>110</v>
      </c>
    </row>
    <row r="112" spans="1:4" x14ac:dyDescent="0.2">
      <c r="A112" s="10" t="s">
        <v>10</v>
      </c>
      <c r="B112" s="10">
        <f>VLOOKUP(przech_odp_zainteresowanie_turniej[[#This Row],[Zainteresowanie turniej]],zainteresowanie_turniej!A:C,2)</f>
        <v>1</v>
      </c>
      <c r="C112">
        <v>72</v>
      </c>
      <c r="D112">
        <v>111</v>
      </c>
    </row>
    <row r="113" spans="1:4" x14ac:dyDescent="0.2">
      <c r="A113" s="10" t="s">
        <v>6</v>
      </c>
      <c r="B113" s="10">
        <f>VLOOKUP(przech_odp_zainteresowanie_turniej[[#This Row],[Zainteresowanie turniej]],zainteresowanie_turniej!A:C,2)</f>
        <v>2</v>
      </c>
      <c r="C113">
        <v>73</v>
      </c>
      <c r="D113">
        <v>112</v>
      </c>
    </row>
    <row r="114" spans="1:4" x14ac:dyDescent="0.2">
      <c r="A114" s="10" t="s">
        <v>25</v>
      </c>
      <c r="B114" s="10">
        <f>VLOOKUP(przech_odp_zainteresowanie_turniej[[#This Row],[Zainteresowanie turniej]],zainteresowanie_turniej!A:C,2)</f>
        <v>4</v>
      </c>
      <c r="C114">
        <v>74</v>
      </c>
      <c r="D114">
        <v>113</v>
      </c>
    </row>
    <row r="115" spans="1:4" x14ac:dyDescent="0.2">
      <c r="A115" s="10" t="s">
        <v>47</v>
      </c>
      <c r="B115" s="10">
        <f>VLOOKUP(przech_odp_zainteresowanie_turniej[[#This Row],[Zainteresowanie turniej]],zainteresowanie_turniej!A:C,2)</f>
        <v>3</v>
      </c>
      <c r="C115">
        <v>74</v>
      </c>
      <c r="D115">
        <v>114</v>
      </c>
    </row>
    <row r="116" spans="1:4" x14ac:dyDescent="0.2">
      <c r="A116" s="10" t="s">
        <v>10</v>
      </c>
      <c r="B116" s="10">
        <f>VLOOKUP(przech_odp_zainteresowanie_turniej[[#This Row],[Zainteresowanie turniej]],zainteresowanie_turniej!A:C,2)</f>
        <v>1</v>
      </c>
      <c r="C116">
        <v>74</v>
      </c>
      <c r="D116">
        <v>115</v>
      </c>
    </row>
    <row r="117" spans="1:4" x14ac:dyDescent="0.2">
      <c r="A117" s="10" t="s">
        <v>10</v>
      </c>
      <c r="B117" s="10">
        <f>VLOOKUP(przech_odp_zainteresowanie_turniej[[#This Row],[Zainteresowanie turniej]],zainteresowanie_turniej!A:C,2)</f>
        <v>1</v>
      </c>
      <c r="C117">
        <v>75</v>
      </c>
      <c r="D117">
        <v>116</v>
      </c>
    </row>
    <row r="118" spans="1:4" x14ac:dyDescent="0.2">
      <c r="A118" s="10" t="s">
        <v>10</v>
      </c>
      <c r="B118" s="10">
        <f>VLOOKUP(przech_odp_zainteresowanie_turniej[[#This Row],[Zainteresowanie turniej]],zainteresowanie_turniej!A:C,2)</f>
        <v>1</v>
      </c>
      <c r="C118">
        <v>76</v>
      </c>
      <c r="D118">
        <v>117</v>
      </c>
    </row>
    <row r="119" spans="1:4" x14ac:dyDescent="0.2">
      <c r="A119" s="10" t="s">
        <v>10</v>
      </c>
      <c r="B119" s="10">
        <f>VLOOKUP(przech_odp_zainteresowanie_turniej[[#This Row],[Zainteresowanie turniej]],zainteresowanie_turniej!A:C,2)</f>
        <v>1</v>
      </c>
      <c r="C119">
        <v>77</v>
      </c>
      <c r="D119">
        <v>118</v>
      </c>
    </row>
    <row r="120" spans="1:4" x14ac:dyDescent="0.2">
      <c r="A120" s="10" t="s">
        <v>25</v>
      </c>
      <c r="B120" s="10">
        <f>VLOOKUP(przech_odp_zainteresowanie_turniej[[#This Row],[Zainteresowanie turniej]],zainteresowanie_turniej!A:C,2)</f>
        <v>4</v>
      </c>
      <c r="C120">
        <v>78</v>
      </c>
      <c r="D120">
        <v>119</v>
      </c>
    </row>
    <row r="121" spans="1:4" x14ac:dyDescent="0.2">
      <c r="A121" s="10" t="s">
        <v>25</v>
      </c>
      <c r="B121" s="10">
        <f>VLOOKUP(przech_odp_zainteresowanie_turniej[[#This Row],[Zainteresowanie turniej]],zainteresowanie_turniej!A:C,2)</f>
        <v>4</v>
      </c>
      <c r="C121">
        <v>79</v>
      </c>
      <c r="D121">
        <v>120</v>
      </c>
    </row>
    <row r="122" spans="1:4" x14ac:dyDescent="0.2">
      <c r="A122" s="10" t="s">
        <v>47</v>
      </c>
      <c r="B122" s="10">
        <f>VLOOKUP(przech_odp_zainteresowanie_turniej[[#This Row],[Zainteresowanie turniej]],zainteresowanie_turniej!A:C,2)</f>
        <v>3</v>
      </c>
      <c r="C122">
        <v>79</v>
      </c>
      <c r="D122">
        <v>121</v>
      </c>
    </row>
    <row r="123" spans="1:4" x14ac:dyDescent="0.2">
      <c r="A123" s="10" t="s">
        <v>10</v>
      </c>
      <c r="B123" s="10">
        <f>VLOOKUP(przech_odp_zainteresowanie_turniej[[#This Row],[Zainteresowanie turniej]],zainteresowanie_turniej!A:C,2)</f>
        <v>1</v>
      </c>
      <c r="C123">
        <v>80</v>
      </c>
      <c r="D123">
        <v>122</v>
      </c>
    </row>
    <row r="124" spans="1:4" x14ac:dyDescent="0.2">
      <c r="A124" s="10" t="s">
        <v>10</v>
      </c>
      <c r="B124" s="10">
        <f>VLOOKUP(przech_odp_zainteresowanie_turniej[[#This Row],[Zainteresowanie turniej]],zainteresowanie_turniej!A:C,2)</f>
        <v>1</v>
      </c>
      <c r="C124">
        <v>81</v>
      </c>
      <c r="D124">
        <v>123</v>
      </c>
    </row>
    <row r="125" spans="1:4" x14ac:dyDescent="0.2">
      <c r="A125" s="10" t="s">
        <v>10</v>
      </c>
      <c r="B125" s="10">
        <f>VLOOKUP(przech_odp_zainteresowanie_turniej[[#This Row],[Zainteresowanie turniej]],zainteresowanie_turniej!A:C,2)</f>
        <v>1</v>
      </c>
      <c r="C125">
        <v>82</v>
      </c>
      <c r="D125">
        <v>124</v>
      </c>
    </row>
    <row r="126" spans="1:4" x14ac:dyDescent="0.2">
      <c r="A126" s="10" t="s">
        <v>25</v>
      </c>
      <c r="B126" s="10">
        <f>VLOOKUP(przech_odp_zainteresowanie_turniej[[#This Row],[Zainteresowanie turniej]],zainteresowanie_turniej!A:C,2)</f>
        <v>4</v>
      </c>
      <c r="C126">
        <v>83</v>
      </c>
      <c r="D126">
        <v>125</v>
      </c>
    </row>
    <row r="127" spans="1:4" x14ac:dyDescent="0.2">
      <c r="A127" s="10" t="s">
        <v>47</v>
      </c>
      <c r="B127" s="10">
        <f>VLOOKUP(przech_odp_zainteresowanie_turniej[[#This Row],[Zainteresowanie turniej]],zainteresowanie_turniej!A:C,2)</f>
        <v>3</v>
      </c>
      <c r="C127">
        <v>83</v>
      </c>
      <c r="D127">
        <v>126</v>
      </c>
    </row>
    <row r="128" spans="1:4" x14ac:dyDescent="0.2">
      <c r="A128" s="10" t="s">
        <v>25</v>
      </c>
      <c r="B128" s="10">
        <f>VLOOKUP(przech_odp_zainteresowanie_turniej[[#This Row],[Zainteresowanie turniej]],zainteresowanie_turniej!A:C,2)</f>
        <v>4</v>
      </c>
      <c r="C128">
        <v>84</v>
      </c>
      <c r="D128">
        <v>127</v>
      </c>
    </row>
    <row r="129" spans="1:4" x14ac:dyDescent="0.2">
      <c r="A129" s="10" t="s">
        <v>47</v>
      </c>
      <c r="B129" s="10">
        <f>VLOOKUP(przech_odp_zainteresowanie_turniej[[#This Row],[Zainteresowanie turniej]],zainteresowanie_turniej!A:C,2)</f>
        <v>3</v>
      </c>
      <c r="C129">
        <v>84</v>
      </c>
      <c r="D129">
        <v>128</v>
      </c>
    </row>
    <row r="130" spans="1:4" x14ac:dyDescent="0.2">
      <c r="A130" s="10" t="s">
        <v>10</v>
      </c>
      <c r="B130" s="10">
        <f>VLOOKUP(przech_odp_zainteresowanie_turniej[[#This Row],[Zainteresowanie turniej]],zainteresowanie_turniej!A:C,2)</f>
        <v>1</v>
      </c>
      <c r="C130">
        <v>84</v>
      </c>
      <c r="D130">
        <v>129</v>
      </c>
    </row>
    <row r="131" spans="1:4" x14ac:dyDescent="0.2">
      <c r="A131" s="10" t="s">
        <v>6</v>
      </c>
      <c r="B131" s="10">
        <f>VLOOKUP(przech_odp_zainteresowanie_turniej[[#This Row],[Zainteresowanie turniej]],zainteresowanie_turniej!A:C,2)</f>
        <v>2</v>
      </c>
      <c r="C131">
        <v>85</v>
      </c>
      <c r="D131">
        <v>130</v>
      </c>
    </row>
    <row r="132" spans="1:4" x14ac:dyDescent="0.2">
      <c r="A132" s="10" t="s">
        <v>10</v>
      </c>
      <c r="B132" s="10">
        <f>VLOOKUP(przech_odp_zainteresowanie_turniej[[#This Row],[Zainteresowanie turniej]],zainteresowanie_turniej!A:C,2)</f>
        <v>1</v>
      </c>
      <c r="C132">
        <v>86</v>
      </c>
      <c r="D132">
        <v>131</v>
      </c>
    </row>
    <row r="133" spans="1:4" x14ac:dyDescent="0.2">
      <c r="A133" s="10" t="s">
        <v>10</v>
      </c>
      <c r="B133" s="10">
        <f>VLOOKUP(przech_odp_zainteresowanie_turniej[[#This Row],[Zainteresowanie turniej]],zainteresowanie_turniej!A:C,2)</f>
        <v>1</v>
      </c>
      <c r="C133">
        <v>87</v>
      </c>
      <c r="D133">
        <v>132</v>
      </c>
    </row>
    <row r="134" spans="1:4" x14ac:dyDescent="0.2">
      <c r="A134" s="10" t="s">
        <v>6</v>
      </c>
      <c r="B134" s="10">
        <f>VLOOKUP(przech_odp_zainteresowanie_turniej[[#This Row],[Zainteresowanie turniej]],zainteresowanie_turniej!A:C,2)</f>
        <v>2</v>
      </c>
      <c r="C134">
        <v>88</v>
      </c>
      <c r="D134">
        <v>133</v>
      </c>
    </row>
    <row r="135" spans="1:4" x14ac:dyDescent="0.2">
      <c r="A135" s="10" t="s">
        <v>6</v>
      </c>
      <c r="B135" s="10">
        <f>VLOOKUP(przech_odp_zainteresowanie_turniej[[#This Row],[Zainteresowanie turniej]],zainteresowanie_turniej!A:C,2)</f>
        <v>2</v>
      </c>
      <c r="C135">
        <v>89</v>
      </c>
      <c r="D135">
        <v>134</v>
      </c>
    </row>
    <row r="136" spans="1:4" x14ac:dyDescent="0.2">
      <c r="A136" s="10" t="s">
        <v>10</v>
      </c>
      <c r="B136" s="10">
        <f>VLOOKUP(przech_odp_zainteresowanie_turniej[[#This Row],[Zainteresowanie turniej]],zainteresowanie_turniej!A:C,2)</f>
        <v>1</v>
      </c>
      <c r="C136">
        <v>90</v>
      </c>
      <c r="D136">
        <v>135</v>
      </c>
    </row>
    <row r="137" spans="1:4" x14ac:dyDescent="0.2">
      <c r="A137" s="10" t="s">
        <v>10</v>
      </c>
      <c r="B137" s="10">
        <f>VLOOKUP(przech_odp_zainteresowanie_turniej[[#This Row],[Zainteresowanie turniej]],zainteresowanie_turniej!A:C,2)</f>
        <v>1</v>
      </c>
      <c r="C137">
        <v>91</v>
      </c>
      <c r="D137">
        <v>136</v>
      </c>
    </row>
    <row r="138" spans="1:4" x14ac:dyDescent="0.2">
      <c r="A138" s="10" t="s">
        <v>10</v>
      </c>
      <c r="B138" s="10">
        <f>VLOOKUP(przech_odp_zainteresowanie_turniej[[#This Row],[Zainteresowanie turniej]],zainteresowanie_turniej!A:C,2)</f>
        <v>1</v>
      </c>
      <c r="C138">
        <v>92</v>
      </c>
      <c r="D138">
        <v>137</v>
      </c>
    </row>
    <row r="139" spans="1:4" x14ac:dyDescent="0.2">
      <c r="A139" s="10" t="s">
        <v>10</v>
      </c>
      <c r="B139" s="10">
        <f>VLOOKUP(przech_odp_zainteresowanie_turniej[[#This Row],[Zainteresowanie turniej]],zainteresowanie_turniej!A:C,2)</f>
        <v>1</v>
      </c>
      <c r="C139">
        <v>93</v>
      </c>
      <c r="D139">
        <v>138</v>
      </c>
    </row>
    <row r="140" spans="1:4" x14ac:dyDescent="0.2">
      <c r="A140" s="10" t="s">
        <v>47</v>
      </c>
      <c r="B140" s="10">
        <f>VLOOKUP(przech_odp_zainteresowanie_turniej[[#This Row],[Zainteresowanie turniej]],zainteresowanie_turniej!A:C,2)</f>
        <v>3</v>
      </c>
      <c r="C140">
        <v>94</v>
      </c>
      <c r="D140">
        <v>139</v>
      </c>
    </row>
    <row r="141" spans="1:4" x14ac:dyDescent="0.2">
      <c r="A141" s="10" t="s">
        <v>25</v>
      </c>
      <c r="B141" s="10">
        <f>VLOOKUP(przech_odp_zainteresowanie_turniej[[#This Row],[Zainteresowanie turniej]],zainteresowanie_turniej!A:C,2)</f>
        <v>4</v>
      </c>
      <c r="C141">
        <v>95</v>
      </c>
      <c r="D141">
        <v>140</v>
      </c>
    </row>
    <row r="142" spans="1:4" x14ac:dyDescent="0.2">
      <c r="A142" s="10" t="s">
        <v>47</v>
      </c>
      <c r="B142" s="10">
        <f>VLOOKUP(przech_odp_zainteresowanie_turniej[[#This Row],[Zainteresowanie turniej]],zainteresowanie_turniej!A:C,2)</f>
        <v>3</v>
      </c>
      <c r="C142">
        <v>95</v>
      </c>
      <c r="D142">
        <v>141</v>
      </c>
    </row>
    <row r="143" spans="1:4" x14ac:dyDescent="0.2">
      <c r="A143" s="10" t="s">
        <v>10</v>
      </c>
      <c r="B143" s="10">
        <f>VLOOKUP(przech_odp_zainteresowanie_turniej[[#This Row],[Zainteresowanie turniej]],zainteresowanie_turniej!A:C,2)</f>
        <v>1</v>
      </c>
      <c r="C143">
        <v>95</v>
      </c>
      <c r="D143">
        <v>142</v>
      </c>
    </row>
    <row r="144" spans="1:4" x14ac:dyDescent="0.2">
      <c r="A144" s="10" t="s">
        <v>6</v>
      </c>
      <c r="B144" s="10">
        <f>VLOOKUP(przech_odp_zainteresowanie_turniej[[#This Row],[Zainteresowanie turniej]],zainteresowanie_turniej!A:C,2)</f>
        <v>2</v>
      </c>
      <c r="C144">
        <v>96</v>
      </c>
      <c r="D144">
        <v>143</v>
      </c>
    </row>
    <row r="145" spans="1:4" x14ac:dyDescent="0.2">
      <c r="A145" s="10" t="s">
        <v>47</v>
      </c>
      <c r="B145" s="10">
        <f>VLOOKUP(przech_odp_zainteresowanie_turniej[[#This Row],[Zainteresowanie turniej]],zainteresowanie_turniej!A:C,2)</f>
        <v>3</v>
      </c>
      <c r="C145">
        <v>97</v>
      </c>
      <c r="D145">
        <v>144</v>
      </c>
    </row>
    <row r="146" spans="1:4" x14ac:dyDescent="0.2">
      <c r="A146" s="10" t="s">
        <v>25</v>
      </c>
      <c r="B146" s="10">
        <f>VLOOKUP(przech_odp_zainteresowanie_turniej[[#This Row],[Zainteresowanie turniej]],zainteresowanie_turniej!A:C,2)</f>
        <v>4</v>
      </c>
      <c r="C146">
        <v>98</v>
      </c>
      <c r="D146">
        <v>145</v>
      </c>
    </row>
    <row r="147" spans="1:4" x14ac:dyDescent="0.2">
      <c r="A147" s="10" t="s">
        <v>47</v>
      </c>
      <c r="B147" s="10">
        <f>VLOOKUP(przech_odp_zainteresowanie_turniej[[#This Row],[Zainteresowanie turniej]],zainteresowanie_turniej!A:C,2)</f>
        <v>3</v>
      </c>
      <c r="C147">
        <v>98</v>
      </c>
      <c r="D147">
        <v>146</v>
      </c>
    </row>
    <row r="148" spans="1:4" x14ac:dyDescent="0.2">
      <c r="A148" s="10" t="s">
        <v>10</v>
      </c>
      <c r="B148" s="10">
        <f>VLOOKUP(przech_odp_zainteresowanie_turniej[[#This Row],[Zainteresowanie turniej]],zainteresowanie_turniej!A:C,2)</f>
        <v>1</v>
      </c>
      <c r="C148">
        <v>98</v>
      </c>
      <c r="D148">
        <v>147</v>
      </c>
    </row>
    <row r="149" spans="1:4" x14ac:dyDescent="0.2">
      <c r="A149" s="10" t="s">
        <v>10</v>
      </c>
      <c r="B149" s="10">
        <f>VLOOKUP(przech_odp_zainteresowanie_turniej[[#This Row],[Zainteresowanie turniej]],zainteresowanie_turniej!A:C,2)</f>
        <v>1</v>
      </c>
      <c r="C149">
        <v>99</v>
      </c>
      <c r="D149">
        <v>148</v>
      </c>
    </row>
    <row r="150" spans="1:4" x14ac:dyDescent="0.2">
      <c r="A150" s="10" t="s">
        <v>6</v>
      </c>
      <c r="B150" s="10">
        <f>VLOOKUP(przech_odp_zainteresowanie_turniej[[#This Row],[Zainteresowanie turniej]],zainteresowanie_turniej!A:C,2)</f>
        <v>2</v>
      </c>
      <c r="C150">
        <v>100</v>
      </c>
      <c r="D150">
        <v>149</v>
      </c>
    </row>
    <row r="151" spans="1:4" x14ac:dyDescent="0.2">
      <c r="A151" s="10" t="s">
        <v>25</v>
      </c>
      <c r="B151" s="10">
        <f>VLOOKUP(przech_odp_zainteresowanie_turniej[[#This Row],[Zainteresowanie turniej]],zainteresowanie_turniej!A:C,2)</f>
        <v>4</v>
      </c>
      <c r="C151">
        <v>101</v>
      </c>
      <c r="D151">
        <v>150</v>
      </c>
    </row>
    <row r="152" spans="1:4" x14ac:dyDescent="0.2">
      <c r="A152" s="10" t="s">
        <v>6</v>
      </c>
      <c r="B152" s="10">
        <f>VLOOKUP(przech_odp_zainteresowanie_turniej[[#This Row],[Zainteresowanie turniej]],zainteresowanie_turniej!A:C,2)</f>
        <v>2</v>
      </c>
      <c r="C152">
        <v>102</v>
      </c>
      <c r="D152">
        <v>151</v>
      </c>
    </row>
    <row r="153" spans="1:4" x14ac:dyDescent="0.2">
      <c r="A153" s="10" t="s">
        <v>10</v>
      </c>
      <c r="B153" s="10">
        <f>VLOOKUP(przech_odp_zainteresowanie_turniej[[#This Row],[Zainteresowanie turniej]],zainteresowanie_turniej!A:C,2)</f>
        <v>1</v>
      </c>
      <c r="C153">
        <v>103</v>
      </c>
      <c r="D153">
        <v>152</v>
      </c>
    </row>
    <row r="154" spans="1:4" x14ac:dyDescent="0.2">
      <c r="A154" s="10" t="s">
        <v>25</v>
      </c>
      <c r="B154" s="10">
        <f>VLOOKUP(przech_odp_zainteresowanie_turniej[[#This Row],[Zainteresowanie turniej]],zainteresowanie_turniej!A:C,2)</f>
        <v>4</v>
      </c>
      <c r="C154">
        <v>104</v>
      </c>
      <c r="D154">
        <v>153</v>
      </c>
    </row>
    <row r="155" spans="1:4" x14ac:dyDescent="0.2">
      <c r="A155" s="10" t="s">
        <v>47</v>
      </c>
      <c r="B155" s="10">
        <f>VLOOKUP(przech_odp_zainteresowanie_turniej[[#This Row],[Zainteresowanie turniej]],zainteresowanie_turniej!A:C,2)</f>
        <v>3</v>
      </c>
      <c r="C155">
        <v>104</v>
      </c>
      <c r="D155">
        <v>154</v>
      </c>
    </row>
    <row r="156" spans="1:4" x14ac:dyDescent="0.2">
      <c r="A156" s="10" t="s">
        <v>10</v>
      </c>
      <c r="B156" s="10">
        <f>VLOOKUP(przech_odp_zainteresowanie_turniej[[#This Row],[Zainteresowanie turniej]],zainteresowanie_turniej!A:C,2)</f>
        <v>1</v>
      </c>
      <c r="C156">
        <v>104</v>
      </c>
      <c r="D156">
        <v>155</v>
      </c>
    </row>
    <row r="157" spans="1:4" x14ac:dyDescent="0.2">
      <c r="A157" s="10" t="s">
        <v>10</v>
      </c>
      <c r="B157" s="10">
        <f>VLOOKUP(przech_odp_zainteresowanie_turniej[[#This Row],[Zainteresowanie turniej]],zainteresowanie_turniej!A:C,2)</f>
        <v>1</v>
      </c>
      <c r="C157">
        <v>105</v>
      </c>
      <c r="D157">
        <v>156</v>
      </c>
    </row>
    <row r="158" spans="1:4" x14ac:dyDescent="0.2">
      <c r="A158" s="10" t="s">
        <v>25</v>
      </c>
      <c r="B158" s="10">
        <f>VLOOKUP(przech_odp_zainteresowanie_turniej[[#This Row],[Zainteresowanie turniej]],zainteresowanie_turniej!A:C,2)</f>
        <v>4</v>
      </c>
      <c r="C158">
        <v>106</v>
      </c>
      <c r="D158">
        <v>157</v>
      </c>
    </row>
    <row r="159" spans="1:4" x14ac:dyDescent="0.2">
      <c r="A159" s="10" t="s">
        <v>25</v>
      </c>
      <c r="B159" s="10">
        <f>VLOOKUP(przech_odp_zainteresowanie_turniej[[#This Row],[Zainteresowanie turniej]],zainteresowanie_turniej!A:C,2)</f>
        <v>4</v>
      </c>
      <c r="C159">
        <v>107</v>
      </c>
      <c r="D159">
        <v>158</v>
      </c>
    </row>
    <row r="160" spans="1:4" x14ac:dyDescent="0.2">
      <c r="A160" s="10" t="s">
        <v>47</v>
      </c>
      <c r="B160" s="10">
        <f>VLOOKUP(przech_odp_zainteresowanie_turniej[[#This Row],[Zainteresowanie turniej]],zainteresowanie_turniej!A:C,2)</f>
        <v>3</v>
      </c>
      <c r="C160">
        <v>107</v>
      </c>
      <c r="D160">
        <v>159</v>
      </c>
    </row>
    <row r="161" spans="1:4" x14ac:dyDescent="0.2">
      <c r="A161" s="10" t="s">
        <v>10</v>
      </c>
      <c r="B161" s="10">
        <f>VLOOKUP(przech_odp_zainteresowanie_turniej[[#This Row],[Zainteresowanie turniej]],zainteresowanie_turniej!A:C,2)</f>
        <v>1</v>
      </c>
      <c r="C161">
        <v>107</v>
      </c>
      <c r="D161">
        <v>160</v>
      </c>
    </row>
    <row r="162" spans="1:4" x14ac:dyDescent="0.2">
      <c r="A162" s="10" t="s">
        <v>25</v>
      </c>
      <c r="B162" s="10">
        <f>VLOOKUP(przech_odp_zainteresowanie_turniej[[#This Row],[Zainteresowanie turniej]],zainteresowanie_turniej!A:C,2)</f>
        <v>4</v>
      </c>
      <c r="C162">
        <v>108</v>
      </c>
      <c r="D162">
        <v>161</v>
      </c>
    </row>
    <row r="163" spans="1:4" x14ac:dyDescent="0.2">
      <c r="A163" s="10" t="s">
        <v>47</v>
      </c>
      <c r="B163" s="10">
        <f>VLOOKUP(przech_odp_zainteresowanie_turniej[[#This Row],[Zainteresowanie turniej]],zainteresowanie_turniej!A:C,2)</f>
        <v>3</v>
      </c>
      <c r="C163">
        <v>108</v>
      </c>
      <c r="D163">
        <v>162</v>
      </c>
    </row>
    <row r="164" spans="1:4" x14ac:dyDescent="0.2">
      <c r="A164" s="10" t="s">
        <v>10</v>
      </c>
      <c r="B164" s="10">
        <f>VLOOKUP(przech_odp_zainteresowanie_turniej[[#This Row],[Zainteresowanie turniej]],zainteresowanie_turniej!A:C,2)</f>
        <v>1</v>
      </c>
      <c r="C164">
        <v>108</v>
      </c>
      <c r="D164">
        <v>163</v>
      </c>
    </row>
    <row r="165" spans="1:4" x14ac:dyDescent="0.2">
      <c r="A165" s="10" t="s">
        <v>47</v>
      </c>
      <c r="B165" s="10">
        <f>VLOOKUP(przech_odp_zainteresowanie_turniej[[#This Row],[Zainteresowanie turniej]],zainteresowanie_turniej!A:C,2)</f>
        <v>3</v>
      </c>
      <c r="C165">
        <v>109</v>
      </c>
      <c r="D165">
        <v>164</v>
      </c>
    </row>
    <row r="166" spans="1:4" x14ac:dyDescent="0.2">
      <c r="A166" s="10" t="s">
        <v>10</v>
      </c>
      <c r="B166" s="10">
        <f>VLOOKUP(przech_odp_zainteresowanie_turniej[[#This Row],[Zainteresowanie turniej]],zainteresowanie_turniej!A:C,2)</f>
        <v>1</v>
      </c>
      <c r="C166">
        <v>109</v>
      </c>
      <c r="D166">
        <v>165</v>
      </c>
    </row>
    <row r="167" spans="1:4" x14ac:dyDescent="0.2">
      <c r="A167" s="10" t="s">
        <v>25</v>
      </c>
      <c r="B167" s="10">
        <f>VLOOKUP(przech_odp_zainteresowanie_turniej[[#This Row],[Zainteresowanie turniej]],zainteresowanie_turniej!A:C,2)</f>
        <v>4</v>
      </c>
      <c r="C167">
        <v>110</v>
      </c>
      <c r="D167">
        <v>166</v>
      </c>
    </row>
    <row r="168" spans="1:4" x14ac:dyDescent="0.2">
      <c r="A168" s="10" t="s">
        <v>10</v>
      </c>
      <c r="B168" s="10">
        <f>VLOOKUP(przech_odp_zainteresowanie_turniej[[#This Row],[Zainteresowanie turniej]],zainteresowanie_turniej!A:C,2)</f>
        <v>1</v>
      </c>
      <c r="C168">
        <v>110</v>
      </c>
      <c r="D168">
        <v>167</v>
      </c>
    </row>
    <row r="169" spans="1:4" x14ac:dyDescent="0.2">
      <c r="A169" s="10" t="s">
        <v>6</v>
      </c>
      <c r="B169" s="10">
        <f>VLOOKUP(przech_odp_zainteresowanie_turniej[[#This Row],[Zainteresowanie turniej]],zainteresowanie_turniej!A:C,2)</f>
        <v>2</v>
      </c>
      <c r="C169">
        <v>111</v>
      </c>
      <c r="D169">
        <v>168</v>
      </c>
    </row>
    <row r="170" spans="1:4" x14ac:dyDescent="0.2">
      <c r="A170" s="10" t="s">
        <v>10</v>
      </c>
      <c r="B170" s="10">
        <f>VLOOKUP(przech_odp_zainteresowanie_turniej[[#This Row],[Zainteresowanie turniej]],zainteresowanie_turniej!A:C,2)</f>
        <v>1</v>
      </c>
      <c r="C170">
        <v>112</v>
      </c>
      <c r="D170">
        <v>169</v>
      </c>
    </row>
    <row r="171" spans="1:4" x14ac:dyDescent="0.2">
      <c r="A171" s="10" t="s">
        <v>10</v>
      </c>
      <c r="B171" s="10">
        <f>VLOOKUP(przech_odp_zainteresowanie_turniej[[#This Row],[Zainteresowanie turniej]],zainteresowanie_turniej!A:C,2)</f>
        <v>1</v>
      </c>
      <c r="C171">
        <v>113</v>
      </c>
      <c r="D171">
        <v>170</v>
      </c>
    </row>
    <row r="172" spans="1:4" x14ac:dyDescent="0.2">
      <c r="A172" s="10" t="s">
        <v>10</v>
      </c>
      <c r="B172" s="10">
        <f>VLOOKUP(przech_odp_zainteresowanie_turniej[[#This Row],[Zainteresowanie turniej]],zainteresowanie_turniej!A:C,2)</f>
        <v>1</v>
      </c>
      <c r="C172">
        <v>114</v>
      </c>
      <c r="D172">
        <v>171</v>
      </c>
    </row>
    <row r="173" spans="1:4" x14ac:dyDescent="0.2">
      <c r="A173" s="10" t="s">
        <v>10</v>
      </c>
      <c r="B173" s="10">
        <f>VLOOKUP(przech_odp_zainteresowanie_turniej[[#This Row],[Zainteresowanie turniej]],zainteresowanie_turniej!A:C,2)</f>
        <v>1</v>
      </c>
      <c r="C173">
        <v>115</v>
      </c>
      <c r="D173">
        <v>172</v>
      </c>
    </row>
    <row r="174" spans="1:4" x14ac:dyDescent="0.2">
      <c r="A174" s="10" t="s">
        <v>25</v>
      </c>
      <c r="B174" s="10">
        <f>VLOOKUP(przech_odp_zainteresowanie_turniej[[#This Row],[Zainteresowanie turniej]],zainteresowanie_turniej!A:C,2)</f>
        <v>4</v>
      </c>
      <c r="C174">
        <v>116</v>
      </c>
      <c r="D174">
        <v>173</v>
      </c>
    </row>
    <row r="175" spans="1:4" x14ac:dyDescent="0.2">
      <c r="A175" s="10" t="s">
        <v>47</v>
      </c>
      <c r="B175" s="10">
        <f>VLOOKUP(przech_odp_zainteresowanie_turniej[[#This Row],[Zainteresowanie turniej]],zainteresowanie_turniej!A:C,2)</f>
        <v>3</v>
      </c>
      <c r="C175">
        <v>116</v>
      </c>
      <c r="D175">
        <v>174</v>
      </c>
    </row>
    <row r="176" spans="1:4" x14ac:dyDescent="0.2">
      <c r="A176" s="10" t="s">
        <v>10</v>
      </c>
      <c r="B176" s="10">
        <f>VLOOKUP(przech_odp_zainteresowanie_turniej[[#This Row],[Zainteresowanie turniej]],zainteresowanie_turniej!A:C,2)</f>
        <v>1</v>
      </c>
      <c r="C176">
        <v>116</v>
      </c>
      <c r="D176">
        <v>175</v>
      </c>
    </row>
    <row r="177" spans="1:4" x14ac:dyDescent="0.2">
      <c r="A177" s="10" t="s">
        <v>10</v>
      </c>
      <c r="B177" s="10">
        <f>VLOOKUP(przech_odp_zainteresowanie_turniej[[#This Row],[Zainteresowanie turniej]],zainteresowanie_turniej!A:C,2)</f>
        <v>1</v>
      </c>
      <c r="C177">
        <v>117</v>
      </c>
      <c r="D177">
        <v>176</v>
      </c>
    </row>
    <row r="178" spans="1:4" x14ac:dyDescent="0.2">
      <c r="A178" s="10" t="s">
        <v>47</v>
      </c>
      <c r="B178" s="10">
        <f>VLOOKUP(przech_odp_zainteresowanie_turniej[[#This Row],[Zainteresowanie turniej]],zainteresowanie_turniej!A:C,2)</f>
        <v>3</v>
      </c>
      <c r="C178">
        <v>118</v>
      </c>
      <c r="D178">
        <v>177</v>
      </c>
    </row>
    <row r="179" spans="1:4" x14ac:dyDescent="0.2">
      <c r="A179" s="10" t="s">
        <v>10</v>
      </c>
      <c r="B179" s="10">
        <f>VLOOKUP(przech_odp_zainteresowanie_turniej[[#This Row],[Zainteresowanie turniej]],zainteresowanie_turniej!A:C,2)</f>
        <v>1</v>
      </c>
      <c r="C179">
        <v>119</v>
      </c>
      <c r="D179">
        <v>178</v>
      </c>
    </row>
    <row r="180" spans="1:4" x14ac:dyDescent="0.2">
      <c r="A180" s="10" t="s">
        <v>6</v>
      </c>
      <c r="B180" s="10">
        <f>VLOOKUP(przech_odp_zainteresowanie_turniej[[#This Row],[Zainteresowanie turniej]],zainteresowanie_turniej!A:C,2)</f>
        <v>2</v>
      </c>
      <c r="C180">
        <v>120</v>
      </c>
      <c r="D180">
        <v>179</v>
      </c>
    </row>
    <row r="181" spans="1:4" x14ac:dyDescent="0.2">
      <c r="A181" s="10" t="s">
        <v>10</v>
      </c>
      <c r="B181" s="10">
        <f>VLOOKUP(przech_odp_zainteresowanie_turniej[[#This Row],[Zainteresowanie turniej]],zainteresowanie_turniej!A:C,2)</f>
        <v>1</v>
      </c>
      <c r="C181">
        <v>121</v>
      </c>
      <c r="D181">
        <v>180</v>
      </c>
    </row>
    <row r="182" spans="1:4" x14ac:dyDescent="0.2">
      <c r="A182" s="10" t="s">
        <v>25</v>
      </c>
      <c r="B182" s="10">
        <f>VLOOKUP(przech_odp_zainteresowanie_turniej[[#This Row],[Zainteresowanie turniej]],zainteresowanie_turniej!A:C,2)</f>
        <v>4</v>
      </c>
      <c r="C182">
        <v>122</v>
      </c>
      <c r="D182">
        <v>181</v>
      </c>
    </row>
    <row r="183" spans="1:4" x14ac:dyDescent="0.2">
      <c r="A183" s="10" t="s">
        <v>47</v>
      </c>
      <c r="B183" s="10">
        <f>VLOOKUP(przech_odp_zainteresowanie_turniej[[#This Row],[Zainteresowanie turniej]],zainteresowanie_turniej!A:C,2)</f>
        <v>3</v>
      </c>
      <c r="C183">
        <v>122</v>
      </c>
      <c r="D183">
        <v>182</v>
      </c>
    </row>
    <row r="184" spans="1:4" x14ac:dyDescent="0.2">
      <c r="A184" s="10" t="s">
        <v>25</v>
      </c>
      <c r="B184" s="10">
        <f>VLOOKUP(przech_odp_zainteresowanie_turniej[[#This Row],[Zainteresowanie turniej]],zainteresowanie_turniej!A:C,2)</f>
        <v>4</v>
      </c>
      <c r="C184">
        <v>123</v>
      </c>
      <c r="D184">
        <v>183</v>
      </c>
    </row>
    <row r="185" spans="1:4" x14ac:dyDescent="0.2">
      <c r="A185" s="10" t="s">
        <v>47</v>
      </c>
      <c r="B185" s="10">
        <f>VLOOKUP(przech_odp_zainteresowanie_turniej[[#This Row],[Zainteresowanie turniej]],zainteresowanie_turniej!A:C,2)</f>
        <v>3</v>
      </c>
      <c r="C185">
        <v>123</v>
      </c>
      <c r="D185">
        <v>184</v>
      </c>
    </row>
    <row r="186" spans="1:4" x14ac:dyDescent="0.2">
      <c r="A186" s="10" t="s">
        <v>10</v>
      </c>
      <c r="B186" s="10">
        <f>VLOOKUP(przech_odp_zainteresowanie_turniej[[#This Row],[Zainteresowanie turniej]],zainteresowanie_turniej!A:C,2)</f>
        <v>1</v>
      </c>
      <c r="C186">
        <v>123</v>
      </c>
      <c r="D186">
        <v>185</v>
      </c>
    </row>
    <row r="187" spans="1:4" x14ac:dyDescent="0.2">
      <c r="A187" s="10" t="s">
        <v>10</v>
      </c>
      <c r="B187" s="10">
        <f>VLOOKUP(przech_odp_zainteresowanie_turniej[[#This Row],[Zainteresowanie turniej]],zainteresowanie_turniej!A:C,2)</f>
        <v>1</v>
      </c>
      <c r="C187">
        <v>124</v>
      </c>
      <c r="D187">
        <v>186</v>
      </c>
    </row>
    <row r="188" spans="1:4" x14ac:dyDescent="0.2">
      <c r="A188" s="10" t="s">
        <v>6</v>
      </c>
      <c r="B188" s="10">
        <f>VLOOKUP(przech_odp_zainteresowanie_turniej[[#This Row],[Zainteresowanie turniej]],zainteresowanie_turniej!A:C,2)</f>
        <v>2</v>
      </c>
      <c r="C188">
        <v>125</v>
      </c>
      <c r="D188">
        <v>187</v>
      </c>
    </row>
    <row r="189" spans="1:4" x14ac:dyDescent="0.2">
      <c r="A189" s="10" t="s">
        <v>10</v>
      </c>
      <c r="B189" s="10">
        <f>VLOOKUP(przech_odp_zainteresowanie_turniej[[#This Row],[Zainteresowanie turniej]],zainteresowanie_turniej!A:C,2)</f>
        <v>1</v>
      </c>
      <c r="C189">
        <v>126</v>
      </c>
      <c r="D189">
        <v>188</v>
      </c>
    </row>
    <row r="190" spans="1:4" x14ac:dyDescent="0.2">
      <c r="A190" s="10" t="s">
        <v>25</v>
      </c>
      <c r="B190" s="10">
        <f>VLOOKUP(przech_odp_zainteresowanie_turniej[[#This Row],[Zainteresowanie turniej]],zainteresowanie_turniej!A:C,2)</f>
        <v>4</v>
      </c>
      <c r="C190">
        <v>127</v>
      </c>
      <c r="D190">
        <v>189</v>
      </c>
    </row>
    <row r="191" spans="1:4" x14ac:dyDescent="0.2">
      <c r="A191" s="10" t="s">
        <v>10</v>
      </c>
      <c r="B191" s="10">
        <f>VLOOKUP(przech_odp_zainteresowanie_turniej[[#This Row],[Zainteresowanie turniej]],zainteresowanie_turniej!A:C,2)</f>
        <v>1</v>
      </c>
      <c r="C191">
        <v>127</v>
      </c>
      <c r="D191">
        <v>190</v>
      </c>
    </row>
    <row r="192" spans="1:4" x14ac:dyDescent="0.2">
      <c r="A192" s="10" t="s">
        <v>25</v>
      </c>
      <c r="B192" s="10">
        <f>VLOOKUP(przech_odp_zainteresowanie_turniej[[#This Row],[Zainteresowanie turniej]],zainteresowanie_turniej!A:C,2)</f>
        <v>4</v>
      </c>
      <c r="C192">
        <v>128</v>
      </c>
      <c r="D192">
        <v>191</v>
      </c>
    </row>
    <row r="193" spans="1:4" x14ac:dyDescent="0.2">
      <c r="A193" s="10" t="s">
        <v>47</v>
      </c>
      <c r="B193" s="10">
        <f>VLOOKUP(przech_odp_zainteresowanie_turniej[[#This Row],[Zainteresowanie turniej]],zainteresowanie_turniej!A:C,2)</f>
        <v>3</v>
      </c>
      <c r="C193">
        <v>128</v>
      </c>
      <c r="D193">
        <v>192</v>
      </c>
    </row>
    <row r="194" spans="1:4" x14ac:dyDescent="0.2">
      <c r="A194" s="10" t="s">
        <v>10</v>
      </c>
      <c r="B194" s="10">
        <f>VLOOKUP(przech_odp_zainteresowanie_turniej[[#This Row],[Zainteresowanie turniej]],zainteresowanie_turniej!A:C,2)</f>
        <v>1</v>
      </c>
      <c r="C194">
        <v>128</v>
      </c>
      <c r="D194">
        <v>193</v>
      </c>
    </row>
    <row r="195" spans="1:4" x14ac:dyDescent="0.2">
      <c r="A195" s="10" t="s">
        <v>10</v>
      </c>
      <c r="B195" s="10">
        <f>VLOOKUP(przech_odp_zainteresowanie_turniej[[#This Row],[Zainteresowanie turniej]],zainteresowanie_turniej!A:C,2)</f>
        <v>1</v>
      </c>
      <c r="C195">
        <v>129</v>
      </c>
      <c r="D195">
        <v>194</v>
      </c>
    </row>
    <row r="196" spans="1:4" x14ac:dyDescent="0.2">
      <c r="A196" s="10" t="s">
        <v>10</v>
      </c>
      <c r="B196" s="10">
        <f>VLOOKUP(przech_odp_zainteresowanie_turniej[[#This Row],[Zainteresowanie turniej]],zainteresowanie_turniej!A:C,2)</f>
        <v>1</v>
      </c>
      <c r="C196">
        <v>130</v>
      </c>
      <c r="D196">
        <v>195</v>
      </c>
    </row>
    <row r="197" spans="1:4" x14ac:dyDescent="0.2">
      <c r="A197" s="10" t="s">
        <v>25</v>
      </c>
      <c r="B197" s="10">
        <f>VLOOKUP(przech_odp_zainteresowanie_turniej[[#This Row],[Zainteresowanie turniej]],zainteresowanie_turniej!A:C,2)</f>
        <v>4</v>
      </c>
      <c r="C197">
        <v>131</v>
      </c>
      <c r="D197">
        <v>196</v>
      </c>
    </row>
    <row r="198" spans="1:4" x14ac:dyDescent="0.2">
      <c r="A198" s="10" t="s">
        <v>47</v>
      </c>
      <c r="B198" s="10">
        <f>VLOOKUP(przech_odp_zainteresowanie_turniej[[#This Row],[Zainteresowanie turniej]],zainteresowanie_turniej!A:C,2)</f>
        <v>3</v>
      </c>
      <c r="C198">
        <v>131</v>
      </c>
      <c r="D198">
        <v>197</v>
      </c>
    </row>
    <row r="199" spans="1:4" x14ac:dyDescent="0.2">
      <c r="A199" s="10" t="s">
        <v>10</v>
      </c>
      <c r="B199" s="10">
        <f>VLOOKUP(przech_odp_zainteresowanie_turniej[[#This Row],[Zainteresowanie turniej]],zainteresowanie_turniej!A:C,2)</f>
        <v>1</v>
      </c>
      <c r="C199">
        <v>131</v>
      </c>
      <c r="D199">
        <v>198</v>
      </c>
    </row>
    <row r="200" spans="1:4" x14ac:dyDescent="0.2">
      <c r="A200" s="10" t="s">
        <v>47</v>
      </c>
      <c r="B200" s="10">
        <f>VLOOKUP(przech_odp_zainteresowanie_turniej[[#This Row],[Zainteresowanie turniej]],zainteresowanie_turniej!A:C,2)</f>
        <v>3</v>
      </c>
      <c r="C200">
        <v>132</v>
      </c>
      <c r="D200">
        <v>199</v>
      </c>
    </row>
    <row r="201" spans="1:4" x14ac:dyDescent="0.2">
      <c r="A201" s="10" t="s">
        <v>10</v>
      </c>
      <c r="B201" s="10">
        <f>VLOOKUP(przech_odp_zainteresowanie_turniej[[#This Row],[Zainteresowanie turniej]],zainteresowanie_turniej!A:C,2)</f>
        <v>1</v>
      </c>
      <c r="C201">
        <v>132</v>
      </c>
      <c r="D201">
        <v>200</v>
      </c>
    </row>
    <row r="202" spans="1:4" x14ac:dyDescent="0.2">
      <c r="A202" s="10" t="s">
        <v>10</v>
      </c>
      <c r="B202" s="10">
        <f>VLOOKUP(przech_odp_zainteresowanie_turniej[[#This Row],[Zainteresowanie turniej]],zainteresowanie_turniej!A:C,2)</f>
        <v>1</v>
      </c>
      <c r="C202">
        <v>133</v>
      </c>
      <c r="D202">
        <v>201</v>
      </c>
    </row>
    <row r="203" spans="1:4" x14ac:dyDescent="0.2">
      <c r="A203" s="10" t="s">
        <v>25</v>
      </c>
      <c r="B203" s="10">
        <f>VLOOKUP(przech_odp_zainteresowanie_turniej[[#This Row],[Zainteresowanie turniej]],zainteresowanie_turniej!A:C,2)</f>
        <v>4</v>
      </c>
      <c r="C203">
        <v>134</v>
      </c>
      <c r="D203">
        <v>202</v>
      </c>
    </row>
    <row r="204" spans="1:4" x14ac:dyDescent="0.2">
      <c r="A204" s="10" t="s">
        <v>47</v>
      </c>
      <c r="B204" s="10">
        <f>VLOOKUP(przech_odp_zainteresowanie_turniej[[#This Row],[Zainteresowanie turniej]],zainteresowanie_turniej!A:C,2)</f>
        <v>3</v>
      </c>
      <c r="C204">
        <v>134</v>
      </c>
      <c r="D204">
        <v>203</v>
      </c>
    </row>
    <row r="205" spans="1:4" x14ac:dyDescent="0.2">
      <c r="A205" s="10" t="s">
        <v>10</v>
      </c>
      <c r="B205" s="10">
        <f>VLOOKUP(przech_odp_zainteresowanie_turniej[[#This Row],[Zainteresowanie turniej]],zainteresowanie_turniej!A:C,2)</f>
        <v>1</v>
      </c>
      <c r="C205">
        <v>134</v>
      </c>
      <c r="D205">
        <v>204</v>
      </c>
    </row>
    <row r="206" spans="1:4" x14ac:dyDescent="0.2">
      <c r="A206" s="10" t="s">
        <v>10</v>
      </c>
      <c r="B206" s="10">
        <f>VLOOKUP(przech_odp_zainteresowanie_turniej[[#This Row],[Zainteresowanie turniej]],zainteresowanie_turniej!A:C,2)</f>
        <v>1</v>
      </c>
      <c r="C206">
        <v>135</v>
      </c>
      <c r="D206">
        <v>205</v>
      </c>
    </row>
    <row r="207" spans="1:4" x14ac:dyDescent="0.2">
      <c r="A207" s="10" t="s">
        <v>10</v>
      </c>
      <c r="B207" s="10">
        <f>VLOOKUP(przech_odp_zainteresowanie_turniej[[#This Row],[Zainteresowanie turniej]],zainteresowanie_turniej!A:C,2)</f>
        <v>1</v>
      </c>
      <c r="C207">
        <v>136</v>
      </c>
      <c r="D207">
        <v>206</v>
      </c>
    </row>
    <row r="208" spans="1:4" x14ac:dyDescent="0.2">
      <c r="A208" s="10" t="s">
        <v>10</v>
      </c>
      <c r="B208" s="10">
        <f>VLOOKUP(przech_odp_zainteresowanie_turniej[[#This Row],[Zainteresowanie turniej]],zainteresowanie_turniej!A:C,2)</f>
        <v>1</v>
      </c>
      <c r="C208">
        <v>137</v>
      </c>
      <c r="D208">
        <v>207</v>
      </c>
    </row>
    <row r="209" spans="1:4" x14ac:dyDescent="0.2">
      <c r="A209" s="10" t="s">
        <v>10</v>
      </c>
      <c r="B209" s="10">
        <f>VLOOKUP(przech_odp_zainteresowanie_turniej[[#This Row],[Zainteresowanie turniej]],zainteresowanie_turniej!A:C,2)</f>
        <v>1</v>
      </c>
      <c r="C209">
        <v>138</v>
      </c>
      <c r="D209">
        <v>208</v>
      </c>
    </row>
    <row r="210" spans="1:4" x14ac:dyDescent="0.2">
      <c r="A210" s="10" t="s">
        <v>25</v>
      </c>
      <c r="B210" s="10">
        <f>VLOOKUP(przech_odp_zainteresowanie_turniej[[#This Row],[Zainteresowanie turniej]],zainteresowanie_turniej!A:C,2)</f>
        <v>4</v>
      </c>
      <c r="C210">
        <v>139</v>
      </c>
      <c r="D210">
        <v>209</v>
      </c>
    </row>
    <row r="211" spans="1:4" x14ac:dyDescent="0.2">
      <c r="A211" s="10" t="s">
        <v>47</v>
      </c>
      <c r="B211" s="10">
        <f>VLOOKUP(przech_odp_zainteresowanie_turniej[[#This Row],[Zainteresowanie turniej]],zainteresowanie_turniej!A:C,2)</f>
        <v>3</v>
      </c>
      <c r="C211">
        <v>139</v>
      </c>
      <c r="D211">
        <v>210</v>
      </c>
    </row>
    <row r="212" spans="1:4" x14ac:dyDescent="0.2">
      <c r="A212" s="10" t="s">
        <v>10</v>
      </c>
      <c r="B212" s="10">
        <f>VLOOKUP(przech_odp_zainteresowanie_turniej[[#This Row],[Zainteresowanie turniej]],zainteresowanie_turniej!A:C,2)</f>
        <v>1</v>
      </c>
      <c r="C212">
        <v>139</v>
      </c>
      <c r="D212">
        <v>211</v>
      </c>
    </row>
    <row r="213" spans="1:4" x14ac:dyDescent="0.2">
      <c r="A213" s="10" t="s">
        <v>6</v>
      </c>
      <c r="B213" s="10">
        <f>VLOOKUP(przech_odp_zainteresowanie_turniej[[#This Row],[Zainteresowanie turniej]],zainteresowanie_turniej!A:C,2)</f>
        <v>2</v>
      </c>
      <c r="C213">
        <v>140</v>
      </c>
      <c r="D213">
        <v>212</v>
      </c>
    </row>
    <row r="214" spans="1:4" x14ac:dyDescent="0.2">
      <c r="A214" s="10" t="s">
        <v>10</v>
      </c>
      <c r="B214" s="10">
        <f>VLOOKUP(przech_odp_zainteresowanie_turniej[[#This Row],[Zainteresowanie turniej]],zainteresowanie_turniej!A:C,2)</f>
        <v>1</v>
      </c>
      <c r="C214">
        <v>141</v>
      </c>
      <c r="D214">
        <v>213</v>
      </c>
    </row>
    <row r="215" spans="1:4" x14ac:dyDescent="0.2">
      <c r="A215" s="10" t="s">
        <v>10</v>
      </c>
      <c r="B215" s="10">
        <f>VLOOKUP(przech_odp_zainteresowanie_turniej[[#This Row],[Zainteresowanie turniej]],zainteresowanie_turniej!A:C,2)</f>
        <v>1</v>
      </c>
      <c r="C215">
        <v>142</v>
      </c>
      <c r="D215">
        <v>214</v>
      </c>
    </row>
    <row r="216" spans="1:4" x14ac:dyDescent="0.2">
      <c r="A216" s="10" t="s">
        <v>25</v>
      </c>
      <c r="B216" s="10">
        <f>VLOOKUP(przech_odp_zainteresowanie_turniej[[#This Row],[Zainteresowanie turniej]],zainteresowanie_turniej!A:C,2)</f>
        <v>4</v>
      </c>
      <c r="C216">
        <v>143</v>
      </c>
      <c r="D216">
        <v>215</v>
      </c>
    </row>
    <row r="217" spans="1:4" x14ac:dyDescent="0.2">
      <c r="A217" s="10" t="s">
        <v>47</v>
      </c>
      <c r="B217" s="10">
        <f>VLOOKUP(przech_odp_zainteresowanie_turniej[[#This Row],[Zainteresowanie turniej]],zainteresowanie_turniej!A:C,2)</f>
        <v>3</v>
      </c>
      <c r="C217">
        <v>143</v>
      </c>
      <c r="D217">
        <v>216</v>
      </c>
    </row>
    <row r="218" spans="1:4" x14ac:dyDescent="0.2">
      <c r="A218" s="10" t="s">
        <v>10</v>
      </c>
      <c r="B218" s="10">
        <f>VLOOKUP(przech_odp_zainteresowanie_turniej[[#This Row],[Zainteresowanie turniej]],zainteresowanie_turniej!A:C,2)</f>
        <v>1</v>
      </c>
      <c r="C218">
        <v>143</v>
      </c>
      <c r="D218">
        <v>217</v>
      </c>
    </row>
    <row r="219" spans="1:4" x14ac:dyDescent="0.2">
      <c r="A219" s="10" t="s">
        <v>25</v>
      </c>
      <c r="B219" s="10">
        <f>VLOOKUP(przech_odp_zainteresowanie_turniej[[#This Row],[Zainteresowanie turniej]],zainteresowanie_turniej!A:C,2)</f>
        <v>4</v>
      </c>
      <c r="C219">
        <v>144</v>
      </c>
      <c r="D219">
        <v>218</v>
      </c>
    </row>
    <row r="220" spans="1:4" x14ac:dyDescent="0.2">
      <c r="A220" s="10" t="s">
        <v>6</v>
      </c>
      <c r="B220" s="10">
        <f>VLOOKUP(przech_odp_zainteresowanie_turniej[[#This Row],[Zainteresowanie turniej]],zainteresowanie_turniej!A:C,2)</f>
        <v>2</v>
      </c>
      <c r="C220">
        <v>145</v>
      </c>
      <c r="D220">
        <v>219</v>
      </c>
    </row>
    <row r="221" spans="1:4" x14ac:dyDescent="0.2">
      <c r="A221" s="10" t="s">
        <v>25</v>
      </c>
      <c r="B221" s="10">
        <f>VLOOKUP(przech_odp_zainteresowanie_turniej[[#This Row],[Zainteresowanie turniej]],zainteresowanie_turniej!A:C,2)</f>
        <v>4</v>
      </c>
      <c r="C221">
        <v>146</v>
      </c>
      <c r="D221">
        <v>220</v>
      </c>
    </row>
    <row r="222" spans="1:4" x14ac:dyDescent="0.2">
      <c r="A222" s="10" t="s">
        <v>47</v>
      </c>
      <c r="B222" s="10">
        <f>VLOOKUP(przech_odp_zainteresowanie_turniej[[#This Row],[Zainteresowanie turniej]],zainteresowanie_turniej!A:C,2)</f>
        <v>3</v>
      </c>
      <c r="C222">
        <v>146</v>
      </c>
      <c r="D222">
        <v>221</v>
      </c>
    </row>
    <row r="223" spans="1:4" x14ac:dyDescent="0.2">
      <c r="A223" s="10" t="s">
        <v>10</v>
      </c>
      <c r="B223" s="10">
        <f>VLOOKUP(przech_odp_zainteresowanie_turniej[[#This Row],[Zainteresowanie turniej]],zainteresowanie_turniej!A:C,2)</f>
        <v>1</v>
      </c>
      <c r="C223">
        <v>146</v>
      </c>
      <c r="D223">
        <v>222</v>
      </c>
    </row>
    <row r="224" spans="1:4" x14ac:dyDescent="0.2">
      <c r="A224" s="10" t="s">
        <v>6</v>
      </c>
      <c r="B224" s="10">
        <f>VLOOKUP(przech_odp_zainteresowanie_turniej[[#This Row],[Zainteresowanie turniej]],zainteresowanie_turniej!A:C,2)</f>
        <v>2</v>
      </c>
      <c r="C224">
        <v>147</v>
      </c>
      <c r="D224">
        <v>223</v>
      </c>
    </row>
    <row r="225" spans="1:4" x14ac:dyDescent="0.2">
      <c r="A225" s="10" t="s">
        <v>25</v>
      </c>
      <c r="B225" s="10">
        <f>VLOOKUP(przech_odp_zainteresowanie_turniej[[#This Row],[Zainteresowanie turniej]],zainteresowanie_turniej!A:C,2)</f>
        <v>4</v>
      </c>
      <c r="C225">
        <v>148</v>
      </c>
      <c r="D225">
        <v>224</v>
      </c>
    </row>
    <row r="226" spans="1:4" x14ac:dyDescent="0.2">
      <c r="A226" s="10" t="s">
        <v>47</v>
      </c>
      <c r="B226" s="10">
        <f>VLOOKUP(przech_odp_zainteresowanie_turniej[[#This Row],[Zainteresowanie turniej]],zainteresowanie_turniej!A:C,2)</f>
        <v>3</v>
      </c>
      <c r="C226">
        <v>148</v>
      </c>
      <c r="D226">
        <v>225</v>
      </c>
    </row>
    <row r="227" spans="1:4" x14ac:dyDescent="0.2">
      <c r="A227" s="10" t="s">
        <v>10</v>
      </c>
      <c r="B227" s="10">
        <f>VLOOKUP(przech_odp_zainteresowanie_turniej[[#This Row],[Zainteresowanie turniej]],zainteresowanie_turniej!A:C,2)</f>
        <v>1</v>
      </c>
      <c r="C227">
        <v>148</v>
      </c>
      <c r="D227">
        <v>226</v>
      </c>
    </row>
    <row r="228" spans="1:4" x14ac:dyDescent="0.2">
      <c r="A228" s="10" t="s">
        <v>10</v>
      </c>
      <c r="B228" s="10">
        <f>VLOOKUP(przech_odp_zainteresowanie_turniej[[#This Row],[Zainteresowanie turniej]],zainteresowanie_turniej!A:C,2)</f>
        <v>1</v>
      </c>
      <c r="C228">
        <v>149</v>
      </c>
      <c r="D228">
        <v>227</v>
      </c>
    </row>
    <row r="229" spans="1:4" x14ac:dyDescent="0.2">
      <c r="A229" s="10" t="s">
        <v>25</v>
      </c>
      <c r="B229" s="10">
        <f>VLOOKUP(przech_odp_zainteresowanie_turniej[[#This Row],[Zainteresowanie turniej]],zainteresowanie_turniej!A:C,2)</f>
        <v>4</v>
      </c>
      <c r="C229">
        <v>150</v>
      </c>
      <c r="D229">
        <v>228</v>
      </c>
    </row>
    <row r="230" spans="1:4" x14ac:dyDescent="0.2">
      <c r="A230" s="10" t="s">
        <v>47</v>
      </c>
      <c r="B230" s="10">
        <f>VLOOKUP(przech_odp_zainteresowanie_turniej[[#This Row],[Zainteresowanie turniej]],zainteresowanie_turniej!A:C,2)</f>
        <v>3</v>
      </c>
      <c r="C230">
        <v>150</v>
      </c>
      <c r="D230">
        <v>229</v>
      </c>
    </row>
    <row r="231" spans="1:4" x14ac:dyDescent="0.2">
      <c r="A231" s="10" t="s">
        <v>10</v>
      </c>
      <c r="B231" s="10">
        <f>VLOOKUP(przech_odp_zainteresowanie_turniej[[#This Row],[Zainteresowanie turniej]],zainteresowanie_turniej!A:C,2)</f>
        <v>1</v>
      </c>
      <c r="C231">
        <v>150</v>
      </c>
      <c r="D231">
        <v>230</v>
      </c>
    </row>
    <row r="232" spans="1:4" x14ac:dyDescent="0.2">
      <c r="A232" s="10" t="s">
        <v>10</v>
      </c>
      <c r="B232" s="10">
        <f>VLOOKUP(przech_odp_zainteresowanie_turniej[[#This Row],[Zainteresowanie turniej]],zainteresowanie_turniej!A:C,2)</f>
        <v>1</v>
      </c>
      <c r="C232">
        <v>151</v>
      </c>
      <c r="D232">
        <v>231</v>
      </c>
    </row>
    <row r="233" spans="1:4" x14ac:dyDescent="0.2">
      <c r="A233" s="10" t="s">
        <v>25</v>
      </c>
      <c r="B233" s="10">
        <f>VLOOKUP(przech_odp_zainteresowanie_turniej[[#This Row],[Zainteresowanie turniej]],zainteresowanie_turniej!A:C,2)</f>
        <v>4</v>
      </c>
      <c r="C233">
        <v>152</v>
      </c>
      <c r="D233">
        <v>232</v>
      </c>
    </row>
    <row r="234" spans="1:4" x14ac:dyDescent="0.2">
      <c r="A234" s="10" t="s">
        <v>47</v>
      </c>
      <c r="B234" s="10">
        <f>VLOOKUP(przech_odp_zainteresowanie_turniej[[#This Row],[Zainteresowanie turniej]],zainteresowanie_turniej!A:C,2)</f>
        <v>3</v>
      </c>
      <c r="C234">
        <v>152</v>
      </c>
      <c r="D234">
        <v>233</v>
      </c>
    </row>
    <row r="235" spans="1:4" x14ac:dyDescent="0.2">
      <c r="A235" s="10" t="s">
        <v>10</v>
      </c>
      <c r="B235" s="10">
        <f>VLOOKUP(przech_odp_zainteresowanie_turniej[[#This Row],[Zainteresowanie turniej]],zainteresowanie_turniej!A:C,2)</f>
        <v>1</v>
      </c>
      <c r="C235">
        <v>152</v>
      </c>
      <c r="D235">
        <v>234</v>
      </c>
    </row>
    <row r="236" spans="1:4" x14ac:dyDescent="0.2">
      <c r="A236" s="10" t="s">
        <v>25</v>
      </c>
      <c r="B236" s="10">
        <f>VLOOKUP(przech_odp_zainteresowanie_turniej[[#This Row],[Zainteresowanie turniej]],zainteresowanie_turniej!A:C,2)</f>
        <v>4</v>
      </c>
      <c r="C236">
        <v>153</v>
      </c>
      <c r="D236">
        <v>235</v>
      </c>
    </row>
    <row r="237" spans="1:4" x14ac:dyDescent="0.2">
      <c r="A237" s="10" t="s">
        <v>47</v>
      </c>
      <c r="B237" s="10">
        <f>VLOOKUP(przech_odp_zainteresowanie_turniej[[#This Row],[Zainteresowanie turniej]],zainteresowanie_turniej!A:C,2)</f>
        <v>3</v>
      </c>
      <c r="C237">
        <v>153</v>
      </c>
      <c r="D237">
        <v>236</v>
      </c>
    </row>
    <row r="238" spans="1:4" x14ac:dyDescent="0.2">
      <c r="A238" s="10" t="s">
        <v>10</v>
      </c>
      <c r="B238" s="10">
        <f>VLOOKUP(przech_odp_zainteresowanie_turniej[[#This Row],[Zainteresowanie turniej]],zainteresowanie_turniej!A:C,2)</f>
        <v>1</v>
      </c>
      <c r="C238">
        <v>153</v>
      </c>
      <c r="D238">
        <v>237</v>
      </c>
    </row>
    <row r="239" spans="1:4" x14ac:dyDescent="0.2">
      <c r="A239" s="10" t="s">
        <v>10</v>
      </c>
      <c r="B239" s="10">
        <f>VLOOKUP(przech_odp_zainteresowanie_turniej[[#This Row],[Zainteresowanie turniej]],zainteresowanie_turniej!A:C,2)</f>
        <v>1</v>
      </c>
      <c r="C239">
        <v>154</v>
      </c>
      <c r="D239">
        <v>238</v>
      </c>
    </row>
    <row r="240" spans="1:4" x14ac:dyDescent="0.2">
      <c r="A240" s="10" t="s">
        <v>10</v>
      </c>
      <c r="B240" s="10">
        <f>VLOOKUP(przech_odp_zainteresowanie_turniej[[#This Row],[Zainteresowanie turniej]],zainteresowanie_turniej!A:C,2)</f>
        <v>1</v>
      </c>
      <c r="C240">
        <v>155</v>
      </c>
      <c r="D240">
        <v>239</v>
      </c>
    </row>
    <row r="241" spans="1:4" x14ac:dyDescent="0.2">
      <c r="A241" s="10" t="s">
        <v>25</v>
      </c>
      <c r="B241" s="10">
        <f>VLOOKUP(przech_odp_zainteresowanie_turniej[[#This Row],[Zainteresowanie turniej]],zainteresowanie_turniej!A:C,2)</f>
        <v>4</v>
      </c>
      <c r="C241">
        <v>156</v>
      </c>
      <c r="D241">
        <v>240</v>
      </c>
    </row>
    <row r="242" spans="1:4" x14ac:dyDescent="0.2">
      <c r="A242" s="10" t="s">
        <v>10</v>
      </c>
      <c r="B242" s="10">
        <f>VLOOKUP(przech_odp_zainteresowanie_turniej[[#This Row],[Zainteresowanie turniej]],zainteresowanie_turniej!A:C,2)</f>
        <v>1</v>
      </c>
      <c r="C242">
        <v>156</v>
      </c>
      <c r="D242">
        <v>241</v>
      </c>
    </row>
    <row r="243" spans="1:4" x14ac:dyDescent="0.2">
      <c r="A243" s="10" t="s">
        <v>6</v>
      </c>
      <c r="B243" s="10">
        <f>VLOOKUP(przech_odp_zainteresowanie_turniej[[#This Row],[Zainteresowanie turniej]],zainteresowanie_turniej!A:C,2)</f>
        <v>2</v>
      </c>
      <c r="C243">
        <v>157</v>
      </c>
      <c r="D243">
        <v>242</v>
      </c>
    </row>
    <row r="244" spans="1:4" x14ac:dyDescent="0.2">
      <c r="A244" s="10" t="s">
        <v>6</v>
      </c>
      <c r="B244" s="10">
        <f>VLOOKUP(przech_odp_zainteresowanie_turniej[[#This Row],[Zainteresowanie turniej]],zainteresowanie_turniej!A:C,2)</f>
        <v>2</v>
      </c>
      <c r="C244">
        <v>158</v>
      </c>
      <c r="D244">
        <v>243</v>
      </c>
    </row>
    <row r="245" spans="1:4" x14ac:dyDescent="0.2">
      <c r="A245" s="10" t="s">
        <v>10</v>
      </c>
      <c r="B245" s="10">
        <f>VLOOKUP(przech_odp_zainteresowanie_turniej[[#This Row],[Zainteresowanie turniej]],zainteresowanie_turniej!A:C,2)</f>
        <v>1</v>
      </c>
      <c r="C245">
        <v>159</v>
      </c>
      <c r="D245">
        <v>244</v>
      </c>
    </row>
    <row r="246" spans="1:4" x14ac:dyDescent="0.2">
      <c r="A246" s="10" t="s">
        <v>6</v>
      </c>
      <c r="B246" s="10">
        <f>VLOOKUP(przech_odp_zainteresowanie_turniej[[#This Row],[Zainteresowanie turniej]],zainteresowanie_turniej!A:C,2)</f>
        <v>2</v>
      </c>
      <c r="C246">
        <v>160</v>
      </c>
      <c r="D246">
        <v>245</v>
      </c>
    </row>
    <row r="247" spans="1:4" x14ac:dyDescent="0.2">
      <c r="A247" s="10" t="s">
        <v>6</v>
      </c>
      <c r="B247" s="10">
        <f>VLOOKUP(przech_odp_zainteresowanie_turniej[[#This Row],[Zainteresowanie turniej]],zainteresowanie_turniej!A:C,2)</f>
        <v>2</v>
      </c>
      <c r="C247">
        <v>161</v>
      </c>
      <c r="D247">
        <v>246</v>
      </c>
    </row>
    <row r="248" spans="1:4" x14ac:dyDescent="0.2">
      <c r="A248" s="10" t="s">
        <v>10</v>
      </c>
      <c r="B248" s="10">
        <f>VLOOKUP(przech_odp_zainteresowanie_turniej[[#This Row],[Zainteresowanie turniej]],zainteresowanie_turniej!A:C,2)</f>
        <v>1</v>
      </c>
      <c r="C248">
        <v>162</v>
      </c>
      <c r="D248">
        <v>247</v>
      </c>
    </row>
    <row r="249" spans="1:4" x14ac:dyDescent="0.2">
      <c r="A249" s="10" t="s">
        <v>25</v>
      </c>
      <c r="B249" s="10">
        <f>VLOOKUP(przech_odp_zainteresowanie_turniej[[#This Row],[Zainteresowanie turniej]],zainteresowanie_turniej!A:C,2)</f>
        <v>4</v>
      </c>
      <c r="C249">
        <v>163</v>
      </c>
      <c r="D249">
        <v>248</v>
      </c>
    </row>
    <row r="250" spans="1:4" x14ac:dyDescent="0.2">
      <c r="A250" s="10" t="s">
        <v>47</v>
      </c>
      <c r="B250" s="10">
        <f>VLOOKUP(przech_odp_zainteresowanie_turniej[[#This Row],[Zainteresowanie turniej]],zainteresowanie_turniej!A:C,2)</f>
        <v>3</v>
      </c>
      <c r="C250">
        <v>163</v>
      </c>
      <c r="D250">
        <v>249</v>
      </c>
    </row>
    <row r="251" spans="1:4" x14ac:dyDescent="0.2">
      <c r="A251" s="10" t="s">
        <v>10</v>
      </c>
      <c r="B251" s="10">
        <f>VLOOKUP(przech_odp_zainteresowanie_turniej[[#This Row],[Zainteresowanie turniej]],zainteresowanie_turniej!A:C,2)</f>
        <v>1</v>
      </c>
      <c r="C251">
        <v>163</v>
      </c>
      <c r="D251">
        <v>250</v>
      </c>
    </row>
    <row r="252" spans="1:4" x14ac:dyDescent="0.2">
      <c r="A252" s="10" t="s">
        <v>6</v>
      </c>
      <c r="B252" s="10">
        <f>VLOOKUP(przech_odp_zainteresowanie_turniej[[#This Row],[Zainteresowanie turniej]],zainteresowanie_turniej!A:C,2)</f>
        <v>2</v>
      </c>
      <c r="C252">
        <v>164</v>
      </c>
      <c r="D252">
        <v>251</v>
      </c>
    </row>
    <row r="253" spans="1:4" x14ac:dyDescent="0.2">
      <c r="A253" s="10" t="s">
        <v>10</v>
      </c>
      <c r="B253" s="10">
        <f>VLOOKUP(przech_odp_zainteresowanie_turniej[[#This Row],[Zainteresowanie turniej]],zainteresowanie_turniej!A:C,2)</f>
        <v>1</v>
      </c>
      <c r="C253">
        <v>165</v>
      </c>
      <c r="D253">
        <v>252</v>
      </c>
    </row>
    <row r="254" spans="1:4" x14ac:dyDescent="0.2">
      <c r="A254" s="10" t="s">
        <v>10</v>
      </c>
      <c r="B254" s="10">
        <f>VLOOKUP(przech_odp_zainteresowanie_turniej[[#This Row],[Zainteresowanie turniej]],zainteresowanie_turniej!A:C,2)</f>
        <v>1</v>
      </c>
      <c r="C254">
        <v>166</v>
      </c>
      <c r="D254">
        <v>253</v>
      </c>
    </row>
    <row r="255" spans="1:4" x14ac:dyDescent="0.2">
      <c r="A255" s="10" t="s">
        <v>25</v>
      </c>
      <c r="B255" s="10">
        <f>VLOOKUP(przech_odp_zainteresowanie_turniej[[#This Row],[Zainteresowanie turniej]],zainteresowanie_turniej!A:C,2)</f>
        <v>4</v>
      </c>
      <c r="C255">
        <v>167</v>
      </c>
      <c r="D255">
        <v>254</v>
      </c>
    </row>
    <row r="256" spans="1:4" x14ac:dyDescent="0.2">
      <c r="A256" s="10" t="s">
        <v>47</v>
      </c>
      <c r="B256" s="10">
        <f>VLOOKUP(przech_odp_zainteresowanie_turniej[[#This Row],[Zainteresowanie turniej]],zainteresowanie_turniej!A:C,2)</f>
        <v>3</v>
      </c>
      <c r="C256">
        <v>168</v>
      </c>
      <c r="D256">
        <v>255</v>
      </c>
    </row>
    <row r="257" spans="1:4" x14ac:dyDescent="0.2">
      <c r="A257" s="10" t="s">
        <v>10</v>
      </c>
      <c r="B257" s="10">
        <f>VLOOKUP(przech_odp_zainteresowanie_turniej[[#This Row],[Zainteresowanie turniej]],zainteresowanie_turniej!A:C,2)</f>
        <v>1</v>
      </c>
      <c r="C257">
        <v>169</v>
      </c>
      <c r="D257">
        <v>256</v>
      </c>
    </row>
    <row r="258" spans="1:4" x14ac:dyDescent="0.2">
      <c r="A258" s="10" t="s">
        <v>25</v>
      </c>
      <c r="B258" s="10">
        <f>VLOOKUP(przech_odp_zainteresowanie_turniej[[#This Row],[Zainteresowanie turniej]],zainteresowanie_turniej!A:C,2)</f>
        <v>4</v>
      </c>
      <c r="C258">
        <v>170</v>
      </c>
      <c r="D258">
        <v>257</v>
      </c>
    </row>
    <row r="259" spans="1:4" x14ac:dyDescent="0.2">
      <c r="A259" s="10" t="s">
        <v>47</v>
      </c>
      <c r="B259" s="10">
        <f>VLOOKUP(przech_odp_zainteresowanie_turniej[[#This Row],[Zainteresowanie turniej]],zainteresowanie_turniej!A:C,2)</f>
        <v>3</v>
      </c>
      <c r="C259">
        <v>170</v>
      </c>
      <c r="D259">
        <v>258</v>
      </c>
    </row>
    <row r="260" spans="1:4" x14ac:dyDescent="0.2">
      <c r="A260" s="10" t="s">
        <v>10</v>
      </c>
      <c r="B260" s="10">
        <f>VLOOKUP(przech_odp_zainteresowanie_turniej[[#This Row],[Zainteresowanie turniej]],zainteresowanie_turniej!A:C,2)</f>
        <v>1</v>
      </c>
      <c r="C260">
        <v>170</v>
      </c>
      <c r="D260">
        <v>259</v>
      </c>
    </row>
    <row r="261" spans="1:4" x14ac:dyDescent="0.2">
      <c r="A261" s="10" t="s">
        <v>10</v>
      </c>
      <c r="B261" s="10">
        <f>VLOOKUP(przech_odp_zainteresowanie_turniej[[#This Row],[Zainteresowanie turniej]],zainteresowanie_turniej!A:C,2)</f>
        <v>1</v>
      </c>
      <c r="C261">
        <v>171</v>
      </c>
      <c r="D261">
        <v>260</v>
      </c>
    </row>
    <row r="262" spans="1:4" x14ac:dyDescent="0.2">
      <c r="A262" s="10" t="s">
        <v>25</v>
      </c>
      <c r="B262" s="10">
        <f>VLOOKUP(przech_odp_zainteresowanie_turniej[[#This Row],[Zainteresowanie turniej]],zainteresowanie_turniej!A:C,2)</f>
        <v>4</v>
      </c>
      <c r="C262">
        <v>172</v>
      </c>
      <c r="D262">
        <v>261</v>
      </c>
    </row>
    <row r="263" spans="1:4" x14ac:dyDescent="0.2">
      <c r="A263" s="10" t="s">
        <v>25</v>
      </c>
      <c r="B263" s="10">
        <f>VLOOKUP(przech_odp_zainteresowanie_turniej[[#This Row],[Zainteresowanie turniej]],zainteresowanie_turniej!A:C,2)</f>
        <v>4</v>
      </c>
      <c r="C263">
        <v>173</v>
      </c>
      <c r="D263">
        <v>262</v>
      </c>
    </row>
    <row r="264" spans="1:4" x14ac:dyDescent="0.2">
      <c r="A264" s="10" t="s">
        <v>47</v>
      </c>
      <c r="B264" s="10">
        <f>VLOOKUP(przech_odp_zainteresowanie_turniej[[#This Row],[Zainteresowanie turniej]],zainteresowanie_turniej!A:C,2)</f>
        <v>3</v>
      </c>
      <c r="C264">
        <v>173</v>
      </c>
      <c r="D264">
        <v>263</v>
      </c>
    </row>
    <row r="265" spans="1:4" x14ac:dyDescent="0.2">
      <c r="A265" s="10" t="s">
        <v>10</v>
      </c>
      <c r="B265" s="10">
        <f>VLOOKUP(przech_odp_zainteresowanie_turniej[[#This Row],[Zainteresowanie turniej]],zainteresowanie_turniej!A:C,2)</f>
        <v>1</v>
      </c>
      <c r="C265">
        <v>173</v>
      </c>
      <c r="D265">
        <v>264</v>
      </c>
    </row>
    <row r="266" spans="1:4" x14ac:dyDescent="0.2">
      <c r="A266" s="10" t="s">
        <v>6</v>
      </c>
      <c r="B266" s="10">
        <f>VLOOKUP(przech_odp_zainteresowanie_turniej[[#This Row],[Zainteresowanie turniej]],zainteresowanie_turniej!A:C,2)</f>
        <v>2</v>
      </c>
      <c r="C266">
        <v>174</v>
      </c>
      <c r="D266">
        <v>265</v>
      </c>
    </row>
    <row r="267" spans="1:4" x14ac:dyDescent="0.2">
      <c r="A267" s="10" t="s">
        <v>6</v>
      </c>
      <c r="B267" s="10">
        <f>VLOOKUP(przech_odp_zainteresowanie_turniej[[#This Row],[Zainteresowanie turniej]],zainteresowanie_turniej!A:C,2)</f>
        <v>2</v>
      </c>
      <c r="C267">
        <v>175</v>
      </c>
      <c r="D267">
        <v>266</v>
      </c>
    </row>
    <row r="268" spans="1:4" x14ac:dyDescent="0.2">
      <c r="A268" s="10" t="s">
        <v>10</v>
      </c>
      <c r="B268" s="10">
        <f>VLOOKUP(przech_odp_zainteresowanie_turniej[[#This Row],[Zainteresowanie turniej]],zainteresowanie_turniej!A:C,2)</f>
        <v>1</v>
      </c>
      <c r="C268">
        <v>176</v>
      </c>
      <c r="D268">
        <v>267</v>
      </c>
    </row>
    <row r="269" spans="1:4" x14ac:dyDescent="0.2">
      <c r="A269" s="10" t="s">
        <v>6</v>
      </c>
      <c r="B269" s="10">
        <f>VLOOKUP(przech_odp_zainteresowanie_turniej[[#This Row],[Zainteresowanie turniej]],zainteresowanie_turniej!A:C,2)</f>
        <v>2</v>
      </c>
      <c r="C269">
        <v>177</v>
      </c>
      <c r="D269">
        <v>268</v>
      </c>
    </row>
    <row r="270" spans="1:4" x14ac:dyDescent="0.2">
      <c r="A270" s="10" t="s">
        <v>10</v>
      </c>
      <c r="B270" s="10">
        <f>VLOOKUP(przech_odp_zainteresowanie_turniej[[#This Row],[Zainteresowanie turniej]],zainteresowanie_turniej!A:C,2)</f>
        <v>1</v>
      </c>
      <c r="C270">
        <v>178</v>
      </c>
      <c r="D270">
        <v>269</v>
      </c>
    </row>
    <row r="271" spans="1:4" x14ac:dyDescent="0.2">
      <c r="A271" s="10" t="s">
        <v>25</v>
      </c>
      <c r="B271" s="10">
        <f>VLOOKUP(przech_odp_zainteresowanie_turniej[[#This Row],[Zainteresowanie turniej]],zainteresowanie_turniej!A:C,2)</f>
        <v>4</v>
      </c>
      <c r="C271">
        <v>179</v>
      </c>
      <c r="D271">
        <v>270</v>
      </c>
    </row>
    <row r="272" spans="1:4" x14ac:dyDescent="0.2">
      <c r="A272" s="10" t="s">
        <v>47</v>
      </c>
      <c r="B272" s="10">
        <f>VLOOKUP(przech_odp_zainteresowanie_turniej[[#This Row],[Zainteresowanie turniej]],zainteresowanie_turniej!A:C,2)</f>
        <v>3</v>
      </c>
      <c r="C272">
        <v>179</v>
      </c>
      <c r="D272">
        <v>271</v>
      </c>
    </row>
    <row r="273" spans="1:4" x14ac:dyDescent="0.2">
      <c r="A273" s="10" t="s">
        <v>10</v>
      </c>
      <c r="B273" s="10">
        <f>VLOOKUP(przech_odp_zainteresowanie_turniej[[#This Row],[Zainteresowanie turniej]],zainteresowanie_turniej!A:C,2)</f>
        <v>1</v>
      </c>
      <c r="C273">
        <v>179</v>
      </c>
      <c r="D273">
        <v>272</v>
      </c>
    </row>
    <row r="274" spans="1:4" x14ac:dyDescent="0.2">
      <c r="A274" s="10" t="s">
        <v>6</v>
      </c>
      <c r="B274" s="10">
        <f>VLOOKUP(przech_odp_zainteresowanie_turniej[[#This Row],[Zainteresowanie turniej]],zainteresowanie_turniej!A:C,2)</f>
        <v>2</v>
      </c>
      <c r="C274">
        <v>180</v>
      </c>
      <c r="D274">
        <v>273</v>
      </c>
    </row>
    <row r="275" spans="1:4" x14ac:dyDescent="0.2">
      <c r="A275" s="10" t="s">
        <v>10</v>
      </c>
      <c r="B275" s="10">
        <f>VLOOKUP(przech_odp_zainteresowanie_turniej[[#This Row],[Zainteresowanie turniej]],zainteresowanie_turniej!A:C,2)</f>
        <v>1</v>
      </c>
      <c r="C275">
        <v>181</v>
      </c>
      <c r="D275">
        <v>274</v>
      </c>
    </row>
    <row r="276" spans="1:4" x14ac:dyDescent="0.2">
      <c r="A276" s="10" t="s">
        <v>25</v>
      </c>
      <c r="B276" s="10">
        <f>VLOOKUP(przech_odp_zainteresowanie_turniej[[#This Row],[Zainteresowanie turniej]],zainteresowanie_turniej!A:C,2)</f>
        <v>4</v>
      </c>
      <c r="C276">
        <v>182</v>
      </c>
      <c r="D276">
        <v>275</v>
      </c>
    </row>
    <row r="277" spans="1:4" x14ac:dyDescent="0.2">
      <c r="A277" s="10" t="s">
        <v>47</v>
      </c>
      <c r="B277" s="10">
        <f>VLOOKUP(przech_odp_zainteresowanie_turniej[[#This Row],[Zainteresowanie turniej]],zainteresowanie_turniej!A:C,2)</f>
        <v>3</v>
      </c>
      <c r="C277">
        <v>182</v>
      </c>
      <c r="D277">
        <v>276</v>
      </c>
    </row>
    <row r="278" spans="1:4" x14ac:dyDescent="0.2">
      <c r="A278" s="10" t="s">
        <v>10</v>
      </c>
      <c r="B278" s="10">
        <f>VLOOKUP(przech_odp_zainteresowanie_turniej[[#This Row],[Zainteresowanie turniej]],zainteresowanie_turniej!A:C,2)</f>
        <v>1</v>
      </c>
      <c r="C278">
        <v>182</v>
      </c>
      <c r="D278">
        <v>277</v>
      </c>
    </row>
    <row r="279" spans="1:4" x14ac:dyDescent="0.2">
      <c r="A279" s="10" t="s">
        <v>6</v>
      </c>
      <c r="B279" s="10">
        <f>VLOOKUP(przech_odp_zainteresowanie_turniej[[#This Row],[Zainteresowanie turniej]],zainteresowanie_turniej!A:C,2)</f>
        <v>2</v>
      </c>
      <c r="C279">
        <v>183</v>
      </c>
      <c r="D279">
        <v>278</v>
      </c>
    </row>
    <row r="280" spans="1:4" x14ac:dyDescent="0.2">
      <c r="A280" s="10" t="s">
        <v>10</v>
      </c>
      <c r="B280" s="10">
        <f>VLOOKUP(przech_odp_zainteresowanie_turniej[[#This Row],[Zainteresowanie turniej]],zainteresowanie_turniej!A:C,2)</f>
        <v>1</v>
      </c>
      <c r="C280">
        <v>184</v>
      </c>
      <c r="D280">
        <v>279</v>
      </c>
    </row>
    <row r="281" spans="1:4" x14ac:dyDescent="0.2">
      <c r="A281" s="10" t="s">
        <v>10</v>
      </c>
      <c r="B281" s="10">
        <f>VLOOKUP(przech_odp_zainteresowanie_turniej[[#This Row],[Zainteresowanie turniej]],zainteresowanie_turniej!A:C,2)</f>
        <v>1</v>
      </c>
      <c r="C281">
        <v>185</v>
      </c>
      <c r="D281">
        <v>280</v>
      </c>
    </row>
    <row r="282" spans="1:4" x14ac:dyDescent="0.2">
      <c r="A282" s="10" t="s">
        <v>25</v>
      </c>
      <c r="B282" s="10">
        <f>VLOOKUP(przech_odp_zainteresowanie_turniej[[#This Row],[Zainteresowanie turniej]],zainteresowanie_turniej!A:C,2)</f>
        <v>4</v>
      </c>
      <c r="C282">
        <v>186</v>
      </c>
      <c r="D282">
        <v>281</v>
      </c>
    </row>
    <row r="283" spans="1:4" x14ac:dyDescent="0.2">
      <c r="A283" s="10" t="s">
        <v>10</v>
      </c>
      <c r="B283" s="10">
        <f>VLOOKUP(przech_odp_zainteresowanie_turniej[[#This Row],[Zainteresowanie turniej]],zainteresowanie_turniej!A:C,2)</f>
        <v>1</v>
      </c>
      <c r="C283">
        <v>186</v>
      </c>
      <c r="D283">
        <v>282</v>
      </c>
    </row>
    <row r="284" spans="1:4" x14ac:dyDescent="0.2">
      <c r="A284" s="10" t="s">
        <v>10</v>
      </c>
      <c r="B284" s="10">
        <f>VLOOKUP(przech_odp_zainteresowanie_turniej[[#This Row],[Zainteresowanie turniej]],zainteresowanie_turniej!A:C,2)</f>
        <v>1</v>
      </c>
      <c r="C284">
        <v>187</v>
      </c>
      <c r="D284">
        <v>283</v>
      </c>
    </row>
    <row r="285" spans="1:4" x14ac:dyDescent="0.2">
      <c r="A285" s="10" t="s">
        <v>10</v>
      </c>
      <c r="B285" s="10">
        <f>VLOOKUP(przech_odp_zainteresowanie_turniej[[#This Row],[Zainteresowanie turniej]],zainteresowanie_turniej!A:C,2)</f>
        <v>1</v>
      </c>
      <c r="C285">
        <v>188</v>
      </c>
      <c r="D285">
        <v>284</v>
      </c>
    </row>
    <row r="286" spans="1:4" x14ac:dyDescent="0.2">
      <c r="A286" s="10" t="s">
        <v>25</v>
      </c>
      <c r="B286" s="10">
        <f>VLOOKUP(przech_odp_zainteresowanie_turniej[[#This Row],[Zainteresowanie turniej]],zainteresowanie_turniej!A:C,2)</f>
        <v>4</v>
      </c>
      <c r="C286">
        <v>189</v>
      </c>
      <c r="D286">
        <v>285</v>
      </c>
    </row>
    <row r="287" spans="1:4" x14ac:dyDescent="0.2">
      <c r="A287" s="10" t="s">
        <v>47</v>
      </c>
      <c r="B287" s="10">
        <f>VLOOKUP(przech_odp_zainteresowanie_turniej[[#This Row],[Zainteresowanie turniej]],zainteresowanie_turniej!A:C,2)</f>
        <v>3</v>
      </c>
      <c r="C287">
        <v>189</v>
      </c>
      <c r="D287">
        <v>286</v>
      </c>
    </row>
    <row r="288" spans="1:4" x14ac:dyDescent="0.2">
      <c r="A288" s="10" t="s">
        <v>10</v>
      </c>
      <c r="B288" s="10">
        <f>VLOOKUP(przech_odp_zainteresowanie_turniej[[#This Row],[Zainteresowanie turniej]],zainteresowanie_turniej!A:C,2)</f>
        <v>1</v>
      </c>
      <c r="C288">
        <v>189</v>
      </c>
      <c r="D288">
        <v>287</v>
      </c>
    </row>
    <row r="289" spans="1:4" x14ac:dyDescent="0.2">
      <c r="A289" s="10" t="s">
        <v>10</v>
      </c>
      <c r="B289" s="10">
        <f>VLOOKUP(przech_odp_zainteresowanie_turniej[[#This Row],[Zainteresowanie turniej]],zainteresowanie_turniej!A:C,2)</f>
        <v>1</v>
      </c>
      <c r="C289">
        <v>190</v>
      </c>
      <c r="D289">
        <v>288</v>
      </c>
    </row>
    <row r="290" spans="1:4" x14ac:dyDescent="0.2">
      <c r="A290" s="10" t="s">
        <v>25</v>
      </c>
      <c r="B290" s="10">
        <f>VLOOKUP(przech_odp_zainteresowanie_turniej[[#This Row],[Zainteresowanie turniej]],zainteresowanie_turniej!A:C,2)</f>
        <v>4</v>
      </c>
      <c r="C290">
        <v>191</v>
      </c>
      <c r="D290">
        <v>289</v>
      </c>
    </row>
    <row r="291" spans="1:4" x14ac:dyDescent="0.2">
      <c r="A291" s="10" t="s">
        <v>47</v>
      </c>
      <c r="B291" s="10">
        <f>VLOOKUP(przech_odp_zainteresowanie_turniej[[#This Row],[Zainteresowanie turniej]],zainteresowanie_turniej!A:C,2)</f>
        <v>3</v>
      </c>
      <c r="C291">
        <v>191</v>
      </c>
      <c r="D291">
        <v>290</v>
      </c>
    </row>
    <row r="292" spans="1:4" x14ac:dyDescent="0.2">
      <c r="A292" s="10" t="s">
        <v>10</v>
      </c>
      <c r="B292" s="10">
        <f>VLOOKUP(przech_odp_zainteresowanie_turniej[[#This Row],[Zainteresowanie turniej]],zainteresowanie_turniej!A:C,2)</f>
        <v>1</v>
      </c>
      <c r="C292">
        <v>191</v>
      </c>
      <c r="D292">
        <v>291</v>
      </c>
    </row>
    <row r="293" spans="1:4" x14ac:dyDescent="0.2">
      <c r="A293" s="10" t="s">
        <v>6</v>
      </c>
      <c r="B293" s="10">
        <f>VLOOKUP(przech_odp_zainteresowanie_turniej[[#This Row],[Zainteresowanie turniej]],zainteresowanie_turniej!A:C,2)</f>
        <v>2</v>
      </c>
      <c r="C293">
        <v>192</v>
      </c>
      <c r="D293">
        <v>292</v>
      </c>
    </row>
    <row r="294" spans="1:4" x14ac:dyDescent="0.2">
      <c r="A294" s="10" t="s">
        <v>25</v>
      </c>
      <c r="B294" s="10">
        <f>VLOOKUP(przech_odp_zainteresowanie_turniej[[#This Row],[Zainteresowanie turniej]],zainteresowanie_turniej!A:C,2)</f>
        <v>4</v>
      </c>
      <c r="C294">
        <v>193</v>
      </c>
      <c r="D294">
        <v>293</v>
      </c>
    </row>
    <row r="295" spans="1:4" x14ac:dyDescent="0.2">
      <c r="A295" s="10" t="s">
        <v>10</v>
      </c>
      <c r="B295" s="10">
        <f>VLOOKUP(przech_odp_zainteresowanie_turniej[[#This Row],[Zainteresowanie turniej]],zainteresowanie_turniej!A:C,2)</f>
        <v>1</v>
      </c>
      <c r="C295">
        <v>193</v>
      </c>
      <c r="D295">
        <v>294</v>
      </c>
    </row>
    <row r="296" spans="1:4" x14ac:dyDescent="0.2">
      <c r="A296" s="10" t="s">
        <v>47</v>
      </c>
      <c r="B296" s="10">
        <f>VLOOKUP(przech_odp_zainteresowanie_turniej[[#This Row],[Zainteresowanie turniej]],zainteresowanie_turniej!A:C,2)</f>
        <v>3</v>
      </c>
      <c r="C296">
        <v>194</v>
      </c>
      <c r="D296">
        <v>295</v>
      </c>
    </row>
    <row r="297" spans="1:4" x14ac:dyDescent="0.2">
      <c r="A297" s="10" t="s">
        <v>25</v>
      </c>
      <c r="B297" s="10">
        <f>VLOOKUP(przech_odp_zainteresowanie_turniej[[#This Row],[Zainteresowanie turniej]],zainteresowanie_turniej!A:C,2)</f>
        <v>4</v>
      </c>
      <c r="C297">
        <v>195</v>
      </c>
      <c r="D297">
        <v>296</v>
      </c>
    </row>
    <row r="298" spans="1:4" x14ac:dyDescent="0.2">
      <c r="A298" s="10" t="s">
        <v>47</v>
      </c>
      <c r="B298" s="10">
        <f>VLOOKUP(przech_odp_zainteresowanie_turniej[[#This Row],[Zainteresowanie turniej]],zainteresowanie_turniej!A:C,2)</f>
        <v>3</v>
      </c>
      <c r="C298">
        <v>195</v>
      </c>
      <c r="D298">
        <v>297</v>
      </c>
    </row>
    <row r="299" spans="1:4" x14ac:dyDescent="0.2">
      <c r="A299" s="10" t="s">
        <v>10</v>
      </c>
      <c r="B299" s="10">
        <f>VLOOKUP(przech_odp_zainteresowanie_turniej[[#This Row],[Zainteresowanie turniej]],zainteresowanie_turniej!A:C,2)</f>
        <v>1</v>
      </c>
      <c r="C299">
        <v>196</v>
      </c>
      <c r="D299">
        <v>298</v>
      </c>
    </row>
    <row r="300" spans="1:4" x14ac:dyDescent="0.2">
      <c r="A300" s="10" t="s">
        <v>6</v>
      </c>
      <c r="B300" s="10">
        <f>VLOOKUP(przech_odp_zainteresowanie_turniej[[#This Row],[Zainteresowanie turniej]],zainteresowanie_turniej!A:C,2)</f>
        <v>2</v>
      </c>
      <c r="C300">
        <v>197</v>
      </c>
      <c r="D300">
        <v>299</v>
      </c>
    </row>
    <row r="301" spans="1:4" x14ac:dyDescent="0.2">
      <c r="A301" s="10" t="s">
        <v>47</v>
      </c>
      <c r="B301" s="10">
        <f>VLOOKUP(przech_odp_zainteresowanie_turniej[[#This Row],[Zainteresowanie turniej]],zainteresowanie_turniej!A:C,2)</f>
        <v>3</v>
      </c>
      <c r="C301">
        <v>198</v>
      </c>
      <c r="D301">
        <v>300</v>
      </c>
    </row>
    <row r="302" spans="1:4" x14ac:dyDescent="0.2">
      <c r="A302" s="10" t="s">
        <v>6</v>
      </c>
      <c r="B302" s="10">
        <f>VLOOKUP(przech_odp_zainteresowanie_turniej[[#This Row],[Zainteresowanie turniej]],zainteresowanie_turniej!A:C,2)</f>
        <v>2</v>
      </c>
      <c r="C302">
        <v>199</v>
      </c>
      <c r="D302">
        <v>301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7F84D-DFFD-41CB-9EDA-C05D237E0EE3}">
  <sheetPr codeName="Arkusz4"/>
  <dimension ref="A1:D247"/>
  <sheetViews>
    <sheetView workbookViewId="0">
      <selection activeCell="G18" sqref="G18"/>
    </sheetView>
  </sheetViews>
  <sheetFormatPr defaultRowHeight="12.75" x14ac:dyDescent="0.2"/>
  <cols>
    <col min="1" max="1" width="71.140625" bestFit="1" customWidth="1"/>
    <col min="2" max="2" width="28.140625" bestFit="1" customWidth="1"/>
    <col min="3" max="3" width="9.42578125" bestFit="1" customWidth="1"/>
    <col min="4" max="4" width="40" bestFit="1" customWidth="1"/>
    <col min="5" max="5" width="9.42578125" bestFit="1" customWidth="1"/>
  </cols>
  <sheetData>
    <row r="1" spans="1:4" x14ac:dyDescent="0.2">
      <c r="A1" t="s">
        <v>87</v>
      </c>
      <c r="B1" s="11" t="s">
        <v>203</v>
      </c>
      <c r="C1" t="s">
        <v>199</v>
      </c>
      <c r="D1" s="11" t="s">
        <v>208</v>
      </c>
    </row>
    <row r="2" spans="1:4" x14ac:dyDescent="0.2">
      <c r="A2" s="10" t="s">
        <v>174</v>
      </c>
      <c r="B2" s="10">
        <f>VLOOKUP(przech_odp_zainteresowanie_esport[[#This Row],[Zainteresowanie e-sport]],zainteresowanie_esport!A:C,2)</f>
        <v>4</v>
      </c>
      <c r="C2">
        <v>1</v>
      </c>
      <c r="D2">
        <v>1</v>
      </c>
    </row>
    <row r="3" spans="1:4" x14ac:dyDescent="0.2">
      <c r="A3" s="10" t="s">
        <v>174</v>
      </c>
      <c r="B3" s="10">
        <f>VLOOKUP(przech_odp_zainteresowanie_esport[[#This Row],[Zainteresowanie e-sport]],zainteresowanie_esport!A:C,2)</f>
        <v>4</v>
      </c>
      <c r="C3">
        <v>2</v>
      </c>
      <c r="D3">
        <v>2</v>
      </c>
    </row>
    <row r="4" spans="1:4" x14ac:dyDescent="0.2">
      <c r="A4" s="10" t="s">
        <v>175</v>
      </c>
      <c r="B4" s="10">
        <f>VLOOKUP(przech_odp_zainteresowanie_esport[[#This Row],[Zainteresowanie e-sport]],zainteresowanie_esport!A:C,2)</f>
        <v>5</v>
      </c>
      <c r="C4">
        <v>3</v>
      </c>
      <c r="D4">
        <v>3</v>
      </c>
    </row>
    <row r="5" spans="1:4" x14ac:dyDescent="0.2">
      <c r="A5" s="10" t="s">
        <v>174</v>
      </c>
      <c r="B5" s="10">
        <f>VLOOKUP(przech_odp_zainteresowanie_esport[[#This Row],[Zainteresowanie e-sport]],zainteresowanie_esport!A:C,2)</f>
        <v>4</v>
      </c>
      <c r="C5">
        <v>3</v>
      </c>
      <c r="D5">
        <v>4</v>
      </c>
    </row>
    <row r="6" spans="1:4" x14ac:dyDescent="0.2">
      <c r="A6" s="10" t="s">
        <v>5</v>
      </c>
      <c r="B6" s="10">
        <f>VLOOKUP(przech_odp_zainteresowanie_esport[[#This Row],[Zainteresowanie e-sport]],zainteresowanie_esport!A:C,2)</f>
        <v>1</v>
      </c>
      <c r="C6">
        <v>4</v>
      </c>
      <c r="D6">
        <v>5</v>
      </c>
    </row>
    <row r="7" spans="1:4" x14ac:dyDescent="0.2">
      <c r="A7" s="10" t="s">
        <v>174</v>
      </c>
      <c r="B7" s="10">
        <f>VLOOKUP(przech_odp_zainteresowanie_esport[[#This Row],[Zainteresowanie e-sport]],zainteresowanie_esport!A:C,2)</f>
        <v>4</v>
      </c>
      <c r="C7">
        <v>5</v>
      </c>
      <c r="D7">
        <v>6</v>
      </c>
    </row>
    <row r="8" spans="1:4" x14ac:dyDescent="0.2">
      <c r="A8" s="10" t="s">
        <v>5</v>
      </c>
      <c r="B8" s="10">
        <f>VLOOKUP(przech_odp_zainteresowanie_esport[[#This Row],[Zainteresowanie e-sport]],zainteresowanie_esport!A:C,2)</f>
        <v>1</v>
      </c>
      <c r="C8">
        <v>6</v>
      </c>
      <c r="D8">
        <v>7</v>
      </c>
    </row>
    <row r="9" spans="1:4" x14ac:dyDescent="0.2">
      <c r="A9" s="10" t="s">
        <v>174</v>
      </c>
      <c r="B9" s="10">
        <f>VLOOKUP(przech_odp_zainteresowanie_esport[[#This Row],[Zainteresowanie e-sport]],zainteresowanie_esport!A:C,2)</f>
        <v>4</v>
      </c>
      <c r="C9">
        <v>7</v>
      </c>
      <c r="D9">
        <v>8</v>
      </c>
    </row>
    <row r="10" spans="1:4" x14ac:dyDescent="0.2">
      <c r="A10" s="10" t="s">
        <v>5</v>
      </c>
      <c r="B10" s="10">
        <f>VLOOKUP(przech_odp_zainteresowanie_esport[[#This Row],[Zainteresowanie e-sport]],zainteresowanie_esport!A:C,2)</f>
        <v>1</v>
      </c>
      <c r="C10">
        <v>8</v>
      </c>
      <c r="D10">
        <v>9</v>
      </c>
    </row>
    <row r="11" spans="1:4" x14ac:dyDescent="0.2">
      <c r="A11" s="10" t="s">
        <v>176</v>
      </c>
      <c r="B11" s="10">
        <f>VLOOKUP(przech_odp_zainteresowanie_esport[[#This Row],[Zainteresowanie e-sport]],zainteresowanie_esport!A:C,2)</f>
        <v>3</v>
      </c>
      <c r="C11">
        <v>9</v>
      </c>
      <c r="D11">
        <v>10</v>
      </c>
    </row>
    <row r="12" spans="1:4" x14ac:dyDescent="0.2">
      <c r="A12" s="10" t="s">
        <v>174</v>
      </c>
      <c r="B12" s="10">
        <f>VLOOKUP(przech_odp_zainteresowanie_esport[[#This Row],[Zainteresowanie e-sport]],zainteresowanie_esport!A:C,2)</f>
        <v>4</v>
      </c>
      <c r="C12">
        <v>10</v>
      </c>
      <c r="D12">
        <v>11</v>
      </c>
    </row>
    <row r="13" spans="1:4" x14ac:dyDescent="0.2">
      <c r="A13" s="10" t="s">
        <v>176</v>
      </c>
      <c r="B13" s="10">
        <f>VLOOKUP(przech_odp_zainteresowanie_esport[[#This Row],[Zainteresowanie e-sport]],zainteresowanie_esport!A:C,2)</f>
        <v>3</v>
      </c>
      <c r="C13">
        <v>11</v>
      </c>
      <c r="D13">
        <v>12</v>
      </c>
    </row>
    <row r="14" spans="1:4" x14ac:dyDescent="0.2">
      <c r="A14" s="10" t="s">
        <v>176</v>
      </c>
      <c r="B14" s="10">
        <f>VLOOKUP(przech_odp_zainteresowanie_esport[[#This Row],[Zainteresowanie e-sport]],zainteresowanie_esport!A:C,2)</f>
        <v>3</v>
      </c>
      <c r="C14">
        <v>12</v>
      </c>
      <c r="D14">
        <v>13</v>
      </c>
    </row>
    <row r="15" spans="1:4" x14ac:dyDescent="0.2">
      <c r="A15" s="10" t="s">
        <v>5</v>
      </c>
      <c r="B15" s="10">
        <f>VLOOKUP(przech_odp_zainteresowanie_esport[[#This Row],[Zainteresowanie e-sport]],zainteresowanie_esport!A:C,2)</f>
        <v>1</v>
      </c>
      <c r="C15">
        <v>13</v>
      </c>
      <c r="D15">
        <v>14</v>
      </c>
    </row>
    <row r="16" spans="1:4" x14ac:dyDescent="0.2">
      <c r="A16" s="10" t="s">
        <v>5</v>
      </c>
      <c r="B16" s="10">
        <f>VLOOKUP(przech_odp_zainteresowanie_esport[[#This Row],[Zainteresowanie e-sport]],zainteresowanie_esport!A:C,2)</f>
        <v>1</v>
      </c>
      <c r="C16">
        <v>14</v>
      </c>
      <c r="D16">
        <v>15</v>
      </c>
    </row>
    <row r="17" spans="1:4" x14ac:dyDescent="0.2">
      <c r="A17" s="10" t="s">
        <v>5</v>
      </c>
      <c r="B17" s="10">
        <f>VLOOKUP(przech_odp_zainteresowanie_esport[[#This Row],[Zainteresowanie e-sport]],zainteresowanie_esport!A:C,2)</f>
        <v>1</v>
      </c>
      <c r="C17">
        <v>15</v>
      </c>
      <c r="D17">
        <v>16</v>
      </c>
    </row>
    <row r="18" spans="1:4" x14ac:dyDescent="0.2">
      <c r="A18" s="10" t="s">
        <v>176</v>
      </c>
      <c r="B18" s="10">
        <f>VLOOKUP(przech_odp_zainteresowanie_esport[[#This Row],[Zainteresowanie e-sport]],zainteresowanie_esport!A:C,2)</f>
        <v>3</v>
      </c>
      <c r="C18">
        <v>16</v>
      </c>
      <c r="D18">
        <v>17</v>
      </c>
    </row>
    <row r="19" spans="1:4" x14ac:dyDescent="0.2">
      <c r="A19" s="10" t="s">
        <v>12</v>
      </c>
      <c r="B19" s="10">
        <f>VLOOKUP(przech_odp_zainteresowanie_esport[[#This Row],[Zainteresowanie e-sport]],zainteresowanie_esport!A:C,2)</f>
        <v>2</v>
      </c>
      <c r="C19">
        <v>17</v>
      </c>
      <c r="D19">
        <v>18</v>
      </c>
    </row>
    <row r="20" spans="1:4" x14ac:dyDescent="0.2">
      <c r="A20" s="10" t="s">
        <v>176</v>
      </c>
      <c r="B20" s="10">
        <f>VLOOKUP(przech_odp_zainteresowanie_esport[[#This Row],[Zainteresowanie e-sport]],zainteresowanie_esport!A:C,2)</f>
        <v>3</v>
      </c>
      <c r="C20">
        <v>18</v>
      </c>
      <c r="D20">
        <v>19</v>
      </c>
    </row>
    <row r="21" spans="1:4" x14ac:dyDescent="0.2">
      <c r="A21" s="10" t="s">
        <v>12</v>
      </c>
      <c r="B21" s="10">
        <f>VLOOKUP(przech_odp_zainteresowanie_esport[[#This Row],[Zainteresowanie e-sport]],zainteresowanie_esport!A:C,2)</f>
        <v>2</v>
      </c>
      <c r="C21">
        <v>19</v>
      </c>
      <c r="D21">
        <v>20</v>
      </c>
    </row>
    <row r="22" spans="1:4" x14ac:dyDescent="0.2">
      <c r="A22" s="10" t="s">
        <v>5</v>
      </c>
      <c r="B22" s="10">
        <f>VLOOKUP(przech_odp_zainteresowanie_esport[[#This Row],[Zainteresowanie e-sport]],zainteresowanie_esport!A:C,2)</f>
        <v>1</v>
      </c>
      <c r="C22">
        <v>20</v>
      </c>
      <c r="D22">
        <v>21</v>
      </c>
    </row>
    <row r="23" spans="1:4" x14ac:dyDescent="0.2">
      <c r="A23" s="10" t="s">
        <v>175</v>
      </c>
      <c r="B23" s="10">
        <f>VLOOKUP(przech_odp_zainteresowanie_esport[[#This Row],[Zainteresowanie e-sport]],zainteresowanie_esport!A:C,2)</f>
        <v>5</v>
      </c>
      <c r="C23">
        <v>21</v>
      </c>
      <c r="D23">
        <v>22</v>
      </c>
    </row>
    <row r="24" spans="1:4" x14ac:dyDescent="0.2">
      <c r="A24" s="10" t="s">
        <v>174</v>
      </c>
      <c r="B24" s="10">
        <f>VLOOKUP(przech_odp_zainteresowanie_esport[[#This Row],[Zainteresowanie e-sport]],zainteresowanie_esport!A:C,2)</f>
        <v>4</v>
      </c>
      <c r="C24">
        <v>21</v>
      </c>
      <c r="D24">
        <v>23</v>
      </c>
    </row>
    <row r="25" spans="1:4" x14ac:dyDescent="0.2">
      <c r="A25" s="10" t="s">
        <v>174</v>
      </c>
      <c r="B25" s="10">
        <f>VLOOKUP(przech_odp_zainteresowanie_esport[[#This Row],[Zainteresowanie e-sport]],zainteresowanie_esport!A:C,2)</f>
        <v>4</v>
      </c>
      <c r="C25">
        <v>22</v>
      </c>
      <c r="D25">
        <v>24</v>
      </c>
    </row>
    <row r="26" spans="1:4" x14ac:dyDescent="0.2">
      <c r="A26" s="10" t="s">
        <v>12</v>
      </c>
      <c r="B26" s="10">
        <f>VLOOKUP(przech_odp_zainteresowanie_esport[[#This Row],[Zainteresowanie e-sport]],zainteresowanie_esport!A:C,2)</f>
        <v>2</v>
      </c>
      <c r="C26">
        <v>23</v>
      </c>
      <c r="D26">
        <v>25</v>
      </c>
    </row>
    <row r="27" spans="1:4" x14ac:dyDescent="0.2">
      <c r="A27" s="10" t="s">
        <v>176</v>
      </c>
      <c r="B27" s="10">
        <f>VLOOKUP(przech_odp_zainteresowanie_esport[[#This Row],[Zainteresowanie e-sport]],zainteresowanie_esport!A:C,2)</f>
        <v>3</v>
      </c>
      <c r="C27">
        <v>24</v>
      </c>
      <c r="D27">
        <v>26</v>
      </c>
    </row>
    <row r="28" spans="1:4" x14ac:dyDescent="0.2">
      <c r="A28" s="10" t="s">
        <v>175</v>
      </c>
      <c r="B28" s="10">
        <f>VLOOKUP(przech_odp_zainteresowanie_esport[[#This Row],[Zainteresowanie e-sport]],zainteresowanie_esport!A:C,2)</f>
        <v>5</v>
      </c>
      <c r="C28">
        <v>25</v>
      </c>
      <c r="D28">
        <v>27</v>
      </c>
    </row>
    <row r="29" spans="1:4" x14ac:dyDescent="0.2">
      <c r="A29" s="10" t="s">
        <v>174</v>
      </c>
      <c r="B29" s="10">
        <f>VLOOKUP(przech_odp_zainteresowanie_esport[[#This Row],[Zainteresowanie e-sport]],zainteresowanie_esport!A:C,2)</f>
        <v>4</v>
      </c>
      <c r="C29">
        <v>26</v>
      </c>
      <c r="D29">
        <v>28</v>
      </c>
    </row>
    <row r="30" spans="1:4" x14ac:dyDescent="0.2">
      <c r="A30" s="10" t="s">
        <v>175</v>
      </c>
      <c r="B30" s="10">
        <f>VLOOKUP(przech_odp_zainteresowanie_esport[[#This Row],[Zainteresowanie e-sport]],zainteresowanie_esport!A:C,2)</f>
        <v>5</v>
      </c>
      <c r="C30">
        <v>27</v>
      </c>
      <c r="D30">
        <v>29</v>
      </c>
    </row>
    <row r="31" spans="1:4" x14ac:dyDescent="0.2">
      <c r="A31" s="10" t="s">
        <v>174</v>
      </c>
      <c r="B31" s="10">
        <f>VLOOKUP(przech_odp_zainteresowanie_esport[[#This Row],[Zainteresowanie e-sport]],zainteresowanie_esport!A:C,2)</f>
        <v>4</v>
      </c>
      <c r="C31">
        <v>27</v>
      </c>
      <c r="D31">
        <v>30</v>
      </c>
    </row>
    <row r="32" spans="1:4" x14ac:dyDescent="0.2">
      <c r="A32" s="10" t="s">
        <v>176</v>
      </c>
      <c r="B32" s="10">
        <f>VLOOKUP(przech_odp_zainteresowanie_esport[[#This Row],[Zainteresowanie e-sport]],zainteresowanie_esport!A:C,2)</f>
        <v>3</v>
      </c>
      <c r="C32">
        <v>28</v>
      </c>
      <c r="D32">
        <v>31</v>
      </c>
    </row>
    <row r="33" spans="1:4" x14ac:dyDescent="0.2">
      <c r="A33" s="10" t="s">
        <v>5</v>
      </c>
      <c r="B33" s="10">
        <f>VLOOKUP(przech_odp_zainteresowanie_esport[[#This Row],[Zainteresowanie e-sport]],zainteresowanie_esport!A:C,2)</f>
        <v>1</v>
      </c>
      <c r="C33">
        <v>29</v>
      </c>
      <c r="D33">
        <v>32</v>
      </c>
    </row>
    <row r="34" spans="1:4" x14ac:dyDescent="0.2">
      <c r="A34" s="10" t="s">
        <v>175</v>
      </c>
      <c r="B34" s="10">
        <f>VLOOKUP(przech_odp_zainteresowanie_esport[[#This Row],[Zainteresowanie e-sport]],zainteresowanie_esport!A:C,2)</f>
        <v>5</v>
      </c>
      <c r="C34">
        <v>30</v>
      </c>
      <c r="D34">
        <v>33</v>
      </c>
    </row>
    <row r="35" spans="1:4" x14ac:dyDescent="0.2">
      <c r="A35" s="10" t="s">
        <v>174</v>
      </c>
      <c r="B35" s="10">
        <f>VLOOKUP(przech_odp_zainteresowanie_esport[[#This Row],[Zainteresowanie e-sport]],zainteresowanie_esport!A:C,2)</f>
        <v>4</v>
      </c>
      <c r="C35">
        <v>30</v>
      </c>
      <c r="D35">
        <v>34</v>
      </c>
    </row>
    <row r="36" spans="1:4" x14ac:dyDescent="0.2">
      <c r="A36" s="10" t="s">
        <v>5</v>
      </c>
      <c r="B36" s="10">
        <f>VLOOKUP(przech_odp_zainteresowanie_esport[[#This Row],[Zainteresowanie e-sport]],zainteresowanie_esport!A:C,2)</f>
        <v>1</v>
      </c>
      <c r="C36">
        <v>31</v>
      </c>
      <c r="D36">
        <v>35</v>
      </c>
    </row>
    <row r="37" spans="1:4" x14ac:dyDescent="0.2">
      <c r="A37" s="10" t="s">
        <v>176</v>
      </c>
      <c r="B37" s="10">
        <f>VLOOKUP(przech_odp_zainteresowanie_esport[[#This Row],[Zainteresowanie e-sport]],zainteresowanie_esport!A:C,2)</f>
        <v>3</v>
      </c>
      <c r="C37">
        <v>32</v>
      </c>
      <c r="D37">
        <v>36</v>
      </c>
    </row>
    <row r="38" spans="1:4" x14ac:dyDescent="0.2">
      <c r="A38" s="10" t="s">
        <v>175</v>
      </c>
      <c r="B38" s="10">
        <f>VLOOKUP(przech_odp_zainteresowanie_esport[[#This Row],[Zainteresowanie e-sport]],zainteresowanie_esport!A:C,2)</f>
        <v>5</v>
      </c>
      <c r="C38">
        <v>33</v>
      </c>
      <c r="D38">
        <v>37</v>
      </c>
    </row>
    <row r="39" spans="1:4" x14ac:dyDescent="0.2">
      <c r="A39" s="10" t="s">
        <v>174</v>
      </c>
      <c r="B39" s="10">
        <f>VLOOKUP(przech_odp_zainteresowanie_esport[[#This Row],[Zainteresowanie e-sport]],zainteresowanie_esport!A:C,2)</f>
        <v>4</v>
      </c>
      <c r="C39">
        <v>33</v>
      </c>
      <c r="D39">
        <v>38</v>
      </c>
    </row>
    <row r="40" spans="1:4" x14ac:dyDescent="0.2">
      <c r="A40" s="10" t="s">
        <v>175</v>
      </c>
      <c r="B40" s="10">
        <f>VLOOKUP(przech_odp_zainteresowanie_esport[[#This Row],[Zainteresowanie e-sport]],zainteresowanie_esport!A:C,2)</f>
        <v>5</v>
      </c>
      <c r="C40">
        <v>34</v>
      </c>
      <c r="D40">
        <v>39</v>
      </c>
    </row>
    <row r="41" spans="1:4" x14ac:dyDescent="0.2">
      <c r="A41" s="10" t="s">
        <v>174</v>
      </c>
      <c r="B41" s="10">
        <f>VLOOKUP(przech_odp_zainteresowanie_esport[[#This Row],[Zainteresowanie e-sport]],zainteresowanie_esport!A:C,2)</f>
        <v>4</v>
      </c>
      <c r="C41">
        <v>34</v>
      </c>
      <c r="D41">
        <v>40</v>
      </c>
    </row>
    <row r="42" spans="1:4" x14ac:dyDescent="0.2">
      <c r="A42" s="10" t="s">
        <v>176</v>
      </c>
      <c r="B42" s="10">
        <f>VLOOKUP(przech_odp_zainteresowanie_esport[[#This Row],[Zainteresowanie e-sport]],zainteresowanie_esport!A:C,2)</f>
        <v>3</v>
      </c>
      <c r="C42">
        <v>35</v>
      </c>
      <c r="D42">
        <v>41</v>
      </c>
    </row>
    <row r="43" spans="1:4" x14ac:dyDescent="0.2">
      <c r="A43" s="10" t="s">
        <v>176</v>
      </c>
      <c r="B43" s="10">
        <f>VLOOKUP(przech_odp_zainteresowanie_esport[[#This Row],[Zainteresowanie e-sport]],zainteresowanie_esport!A:C,2)</f>
        <v>3</v>
      </c>
      <c r="C43">
        <v>36</v>
      </c>
      <c r="D43">
        <v>42</v>
      </c>
    </row>
    <row r="44" spans="1:4" x14ac:dyDescent="0.2">
      <c r="A44" s="10" t="s">
        <v>175</v>
      </c>
      <c r="B44" s="10">
        <f>VLOOKUP(przech_odp_zainteresowanie_esport[[#This Row],[Zainteresowanie e-sport]],zainteresowanie_esport!A:C,2)</f>
        <v>5</v>
      </c>
      <c r="C44">
        <v>37</v>
      </c>
      <c r="D44">
        <v>43</v>
      </c>
    </row>
    <row r="45" spans="1:4" x14ac:dyDescent="0.2">
      <c r="A45" s="10" t="s">
        <v>174</v>
      </c>
      <c r="B45" s="10">
        <f>VLOOKUP(przech_odp_zainteresowanie_esport[[#This Row],[Zainteresowanie e-sport]],zainteresowanie_esport!A:C,2)</f>
        <v>4</v>
      </c>
      <c r="C45">
        <v>37</v>
      </c>
      <c r="D45">
        <v>44</v>
      </c>
    </row>
    <row r="46" spans="1:4" x14ac:dyDescent="0.2">
      <c r="A46" s="10" t="s">
        <v>174</v>
      </c>
      <c r="B46" s="10">
        <f>VLOOKUP(przech_odp_zainteresowanie_esport[[#This Row],[Zainteresowanie e-sport]],zainteresowanie_esport!A:C,2)</f>
        <v>4</v>
      </c>
      <c r="C46">
        <v>38</v>
      </c>
      <c r="D46">
        <v>45</v>
      </c>
    </row>
    <row r="47" spans="1:4" x14ac:dyDescent="0.2">
      <c r="A47" s="10" t="s">
        <v>176</v>
      </c>
      <c r="B47" s="10">
        <f>VLOOKUP(przech_odp_zainteresowanie_esport[[#This Row],[Zainteresowanie e-sport]],zainteresowanie_esport!A:C,2)</f>
        <v>3</v>
      </c>
      <c r="C47">
        <v>39</v>
      </c>
      <c r="D47">
        <v>46</v>
      </c>
    </row>
    <row r="48" spans="1:4" x14ac:dyDescent="0.2">
      <c r="A48" s="10" t="s">
        <v>175</v>
      </c>
      <c r="B48" s="10">
        <f>VLOOKUP(przech_odp_zainteresowanie_esport[[#This Row],[Zainteresowanie e-sport]],zainteresowanie_esport!A:C,2)</f>
        <v>5</v>
      </c>
      <c r="C48">
        <v>40</v>
      </c>
      <c r="D48">
        <v>47</v>
      </c>
    </row>
    <row r="49" spans="1:4" x14ac:dyDescent="0.2">
      <c r="A49" s="10" t="s">
        <v>174</v>
      </c>
      <c r="B49" s="10">
        <f>VLOOKUP(przech_odp_zainteresowanie_esport[[#This Row],[Zainteresowanie e-sport]],zainteresowanie_esport!A:C,2)</f>
        <v>4</v>
      </c>
      <c r="C49">
        <v>40</v>
      </c>
      <c r="D49">
        <v>48</v>
      </c>
    </row>
    <row r="50" spans="1:4" x14ac:dyDescent="0.2">
      <c r="A50" s="10" t="s">
        <v>175</v>
      </c>
      <c r="B50" s="10">
        <f>VLOOKUP(przech_odp_zainteresowanie_esport[[#This Row],[Zainteresowanie e-sport]],zainteresowanie_esport!A:C,2)</f>
        <v>5</v>
      </c>
      <c r="C50">
        <v>41</v>
      </c>
      <c r="D50">
        <v>49</v>
      </c>
    </row>
    <row r="51" spans="1:4" x14ac:dyDescent="0.2">
      <c r="A51" s="10" t="s">
        <v>176</v>
      </c>
      <c r="B51" s="10">
        <f>VLOOKUP(przech_odp_zainteresowanie_esport[[#This Row],[Zainteresowanie e-sport]],zainteresowanie_esport!A:C,2)</f>
        <v>3</v>
      </c>
      <c r="C51">
        <v>42</v>
      </c>
      <c r="D51">
        <v>50</v>
      </c>
    </row>
    <row r="52" spans="1:4" x14ac:dyDescent="0.2">
      <c r="A52" s="10" t="s">
        <v>175</v>
      </c>
      <c r="B52" s="10">
        <f>VLOOKUP(przech_odp_zainteresowanie_esport[[#This Row],[Zainteresowanie e-sport]],zainteresowanie_esport!A:C,2)</f>
        <v>5</v>
      </c>
      <c r="C52">
        <v>43</v>
      </c>
      <c r="D52">
        <v>51</v>
      </c>
    </row>
    <row r="53" spans="1:4" x14ac:dyDescent="0.2">
      <c r="A53" s="10" t="s">
        <v>5</v>
      </c>
      <c r="B53" s="10">
        <f>VLOOKUP(przech_odp_zainteresowanie_esport[[#This Row],[Zainteresowanie e-sport]],zainteresowanie_esport!A:C,2)</f>
        <v>1</v>
      </c>
      <c r="C53">
        <v>44</v>
      </c>
      <c r="D53">
        <v>52</v>
      </c>
    </row>
    <row r="54" spans="1:4" x14ac:dyDescent="0.2">
      <c r="A54" s="10" t="s">
        <v>5</v>
      </c>
      <c r="B54" s="10">
        <f>VLOOKUP(przech_odp_zainteresowanie_esport[[#This Row],[Zainteresowanie e-sport]],zainteresowanie_esport!A:C,2)</f>
        <v>1</v>
      </c>
      <c r="C54">
        <v>45</v>
      </c>
      <c r="D54">
        <v>53</v>
      </c>
    </row>
    <row r="55" spans="1:4" x14ac:dyDescent="0.2">
      <c r="A55" s="10" t="s">
        <v>176</v>
      </c>
      <c r="B55" s="10">
        <f>VLOOKUP(przech_odp_zainteresowanie_esport[[#This Row],[Zainteresowanie e-sport]],zainteresowanie_esport!A:C,2)</f>
        <v>3</v>
      </c>
      <c r="C55">
        <v>46</v>
      </c>
      <c r="D55">
        <v>54</v>
      </c>
    </row>
    <row r="56" spans="1:4" x14ac:dyDescent="0.2">
      <c r="A56" s="10" t="s">
        <v>175</v>
      </c>
      <c r="B56" s="10">
        <f>VLOOKUP(przech_odp_zainteresowanie_esport[[#This Row],[Zainteresowanie e-sport]],zainteresowanie_esport!A:C,2)</f>
        <v>5</v>
      </c>
      <c r="C56">
        <v>47</v>
      </c>
      <c r="D56">
        <v>55</v>
      </c>
    </row>
    <row r="57" spans="1:4" x14ac:dyDescent="0.2">
      <c r="A57" s="10" t="s">
        <v>174</v>
      </c>
      <c r="B57" s="10">
        <f>VLOOKUP(przech_odp_zainteresowanie_esport[[#This Row],[Zainteresowanie e-sport]],zainteresowanie_esport!A:C,2)</f>
        <v>4</v>
      </c>
      <c r="C57">
        <v>47</v>
      </c>
      <c r="D57">
        <v>56</v>
      </c>
    </row>
    <row r="58" spans="1:4" x14ac:dyDescent="0.2">
      <c r="A58" s="10" t="s">
        <v>176</v>
      </c>
      <c r="B58" s="10">
        <f>VLOOKUP(przech_odp_zainteresowanie_esport[[#This Row],[Zainteresowanie e-sport]],zainteresowanie_esport!A:C,2)</f>
        <v>3</v>
      </c>
      <c r="C58">
        <v>48</v>
      </c>
      <c r="D58">
        <v>57</v>
      </c>
    </row>
    <row r="59" spans="1:4" x14ac:dyDescent="0.2">
      <c r="A59" s="10" t="s">
        <v>5</v>
      </c>
      <c r="B59" s="10">
        <f>VLOOKUP(przech_odp_zainteresowanie_esport[[#This Row],[Zainteresowanie e-sport]],zainteresowanie_esport!A:C,2)</f>
        <v>1</v>
      </c>
      <c r="C59">
        <v>48</v>
      </c>
      <c r="D59">
        <v>58</v>
      </c>
    </row>
    <row r="60" spans="1:4" x14ac:dyDescent="0.2">
      <c r="A60" s="10" t="s">
        <v>174</v>
      </c>
      <c r="B60" s="10">
        <f>VLOOKUP(przech_odp_zainteresowanie_esport[[#This Row],[Zainteresowanie e-sport]],zainteresowanie_esport!A:C,2)</f>
        <v>4</v>
      </c>
      <c r="C60">
        <v>49</v>
      </c>
      <c r="D60">
        <v>59</v>
      </c>
    </row>
    <row r="61" spans="1:4" x14ac:dyDescent="0.2">
      <c r="A61" s="10" t="s">
        <v>175</v>
      </c>
      <c r="B61" s="10">
        <f>VLOOKUP(przech_odp_zainteresowanie_esport[[#This Row],[Zainteresowanie e-sport]],zainteresowanie_esport!A:C,2)</f>
        <v>5</v>
      </c>
      <c r="C61">
        <v>50</v>
      </c>
      <c r="D61">
        <v>60</v>
      </c>
    </row>
    <row r="62" spans="1:4" x14ac:dyDescent="0.2">
      <c r="A62" s="10" t="s">
        <v>174</v>
      </c>
      <c r="B62" s="10">
        <f>VLOOKUP(przech_odp_zainteresowanie_esport[[#This Row],[Zainteresowanie e-sport]],zainteresowanie_esport!A:C,2)</f>
        <v>4</v>
      </c>
      <c r="C62">
        <v>50</v>
      </c>
      <c r="D62">
        <v>61</v>
      </c>
    </row>
    <row r="63" spans="1:4" x14ac:dyDescent="0.2">
      <c r="A63" s="10" t="s">
        <v>175</v>
      </c>
      <c r="B63" s="10">
        <f>VLOOKUP(przech_odp_zainteresowanie_esport[[#This Row],[Zainteresowanie e-sport]],zainteresowanie_esport!A:C,2)</f>
        <v>5</v>
      </c>
      <c r="C63">
        <v>51</v>
      </c>
      <c r="D63">
        <v>62</v>
      </c>
    </row>
    <row r="64" spans="1:4" x14ac:dyDescent="0.2">
      <c r="A64" s="10" t="s">
        <v>174</v>
      </c>
      <c r="B64" s="10">
        <f>VLOOKUP(przech_odp_zainteresowanie_esport[[#This Row],[Zainteresowanie e-sport]],zainteresowanie_esport!A:C,2)</f>
        <v>4</v>
      </c>
      <c r="C64">
        <v>51</v>
      </c>
      <c r="D64">
        <v>63</v>
      </c>
    </row>
    <row r="65" spans="1:4" x14ac:dyDescent="0.2">
      <c r="A65" s="10" t="s">
        <v>176</v>
      </c>
      <c r="B65" s="10">
        <f>VLOOKUP(przech_odp_zainteresowanie_esport[[#This Row],[Zainteresowanie e-sport]],zainteresowanie_esport!A:C,2)</f>
        <v>3</v>
      </c>
      <c r="C65">
        <v>52</v>
      </c>
      <c r="D65">
        <v>64</v>
      </c>
    </row>
    <row r="66" spans="1:4" x14ac:dyDescent="0.2">
      <c r="A66" s="10" t="s">
        <v>175</v>
      </c>
      <c r="B66" s="10">
        <f>VLOOKUP(przech_odp_zainteresowanie_esport[[#This Row],[Zainteresowanie e-sport]],zainteresowanie_esport!A:C,2)</f>
        <v>5</v>
      </c>
      <c r="C66">
        <v>53</v>
      </c>
      <c r="D66">
        <v>65</v>
      </c>
    </row>
    <row r="67" spans="1:4" x14ac:dyDescent="0.2">
      <c r="A67" s="10" t="s">
        <v>174</v>
      </c>
      <c r="B67" s="10">
        <f>VLOOKUP(przech_odp_zainteresowanie_esport[[#This Row],[Zainteresowanie e-sport]],zainteresowanie_esport!A:C,2)</f>
        <v>4</v>
      </c>
      <c r="C67">
        <v>53</v>
      </c>
      <c r="D67">
        <v>66</v>
      </c>
    </row>
    <row r="68" spans="1:4" x14ac:dyDescent="0.2">
      <c r="A68" s="10" t="s">
        <v>5</v>
      </c>
      <c r="B68" s="10">
        <f>VLOOKUP(przech_odp_zainteresowanie_esport[[#This Row],[Zainteresowanie e-sport]],zainteresowanie_esport!A:C,2)</f>
        <v>1</v>
      </c>
      <c r="C68">
        <v>54</v>
      </c>
      <c r="D68">
        <v>67</v>
      </c>
    </row>
    <row r="69" spans="1:4" x14ac:dyDescent="0.2">
      <c r="A69" s="10" t="s">
        <v>174</v>
      </c>
      <c r="B69" s="10">
        <f>VLOOKUP(przech_odp_zainteresowanie_esport[[#This Row],[Zainteresowanie e-sport]],zainteresowanie_esport!A:C,2)</f>
        <v>4</v>
      </c>
      <c r="C69">
        <v>55</v>
      </c>
      <c r="D69">
        <v>68</v>
      </c>
    </row>
    <row r="70" spans="1:4" x14ac:dyDescent="0.2">
      <c r="A70" s="10" t="s">
        <v>5</v>
      </c>
      <c r="B70" s="10">
        <f>VLOOKUP(przech_odp_zainteresowanie_esport[[#This Row],[Zainteresowanie e-sport]],zainteresowanie_esport!A:C,2)</f>
        <v>1</v>
      </c>
      <c r="C70">
        <v>56</v>
      </c>
      <c r="D70">
        <v>69</v>
      </c>
    </row>
    <row r="71" spans="1:4" x14ac:dyDescent="0.2">
      <c r="A71" s="10" t="s">
        <v>174</v>
      </c>
      <c r="B71" s="10">
        <f>VLOOKUP(przech_odp_zainteresowanie_esport[[#This Row],[Zainteresowanie e-sport]],zainteresowanie_esport!A:C,2)</f>
        <v>4</v>
      </c>
      <c r="C71">
        <v>57</v>
      </c>
      <c r="D71">
        <v>70</v>
      </c>
    </row>
    <row r="72" spans="1:4" x14ac:dyDescent="0.2">
      <c r="A72" s="10" t="s">
        <v>176</v>
      </c>
      <c r="B72" s="10">
        <f>VLOOKUP(przech_odp_zainteresowanie_esport[[#This Row],[Zainteresowanie e-sport]],zainteresowanie_esport!A:C,2)</f>
        <v>3</v>
      </c>
      <c r="C72">
        <v>58</v>
      </c>
      <c r="D72">
        <v>71</v>
      </c>
    </row>
    <row r="73" spans="1:4" x14ac:dyDescent="0.2">
      <c r="A73" s="10" t="s">
        <v>175</v>
      </c>
      <c r="B73" s="10">
        <f>VLOOKUP(przech_odp_zainteresowanie_esport[[#This Row],[Zainteresowanie e-sport]],zainteresowanie_esport!A:C,2)</f>
        <v>5</v>
      </c>
      <c r="C73">
        <v>59</v>
      </c>
      <c r="D73">
        <v>72</v>
      </c>
    </row>
    <row r="74" spans="1:4" x14ac:dyDescent="0.2">
      <c r="A74" s="10" t="s">
        <v>176</v>
      </c>
      <c r="B74" s="10">
        <f>VLOOKUP(przech_odp_zainteresowanie_esport[[#This Row],[Zainteresowanie e-sport]],zainteresowanie_esport!A:C,2)</f>
        <v>3</v>
      </c>
      <c r="C74">
        <v>60</v>
      </c>
      <c r="D74">
        <v>73</v>
      </c>
    </row>
    <row r="75" spans="1:4" x14ac:dyDescent="0.2">
      <c r="A75" s="10" t="s">
        <v>5</v>
      </c>
      <c r="B75" s="10">
        <f>VLOOKUP(przech_odp_zainteresowanie_esport[[#This Row],[Zainteresowanie e-sport]],zainteresowanie_esport!A:C,2)</f>
        <v>1</v>
      </c>
      <c r="C75">
        <v>61</v>
      </c>
      <c r="D75">
        <v>74</v>
      </c>
    </row>
    <row r="76" spans="1:4" x14ac:dyDescent="0.2">
      <c r="A76" s="10" t="s">
        <v>174</v>
      </c>
      <c r="B76" s="10">
        <f>VLOOKUP(przech_odp_zainteresowanie_esport[[#This Row],[Zainteresowanie e-sport]],zainteresowanie_esport!A:C,2)</f>
        <v>4</v>
      </c>
      <c r="C76">
        <v>62</v>
      </c>
      <c r="D76">
        <v>75</v>
      </c>
    </row>
    <row r="77" spans="1:4" x14ac:dyDescent="0.2">
      <c r="A77" s="10" t="s">
        <v>5</v>
      </c>
      <c r="B77" s="10">
        <f>VLOOKUP(przech_odp_zainteresowanie_esport[[#This Row],[Zainteresowanie e-sport]],zainteresowanie_esport!A:C,2)</f>
        <v>1</v>
      </c>
      <c r="C77">
        <v>63</v>
      </c>
      <c r="D77">
        <v>76</v>
      </c>
    </row>
    <row r="78" spans="1:4" x14ac:dyDescent="0.2">
      <c r="A78" s="10" t="s">
        <v>176</v>
      </c>
      <c r="B78" s="10">
        <f>VLOOKUP(przech_odp_zainteresowanie_esport[[#This Row],[Zainteresowanie e-sport]],zainteresowanie_esport!A:C,2)</f>
        <v>3</v>
      </c>
      <c r="C78">
        <v>64</v>
      </c>
      <c r="D78">
        <v>77</v>
      </c>
    </row>
    <row r="79" spans="1:4" x14ac:dyDescent="0.2">
      <c r="A79" s="10" t="s">
        <v>176</v>
      </c>
      <c r="B79" s="10">
        <f>VLOOKUP(przech_odp_zainteresowanie_esport[[#This Row],[Zainteresowanie e-sport]],zainteresowanie_esport!A:C,2)</f>
        <v>3</v>
      </c>
      <c r="C79">
        <v>65</v>
      </c>
      <c r="D79">
        <v>78</v>
      </c>
    </row>
    <row r="80" spans="1:4" x14ac:dyDescent="0.2">
      <c r="A80" s="10" t="s">
        <v>175</v>
      </c>
      <c r="B80" s="10">
        <f>VLOOKUP(przech_odp_zainteresowanie_esport[[#This Row],[Zainteresowanie e-sport]],zainteresowanie_esport!A:C,2)</f>
        <v>5</v>
      </c>
      <c r="C80">
        <v>66</v>
      </c>
      <c r="D80">
        <v>79</v>
      </c>
    </row>
    <row r="81" spans="1:4" x14ac:dyDescent="0.2">
      <c r="A81" s="10" t="s">
        <v>174</v>
      </c>
      <c r="B81" s="10">
        <f>VLOOKUP(przech_odp_zainteresowanie_esport[[#This Row],[Zainteresowanie e-sport]],zainteresowanie_esport!A:C,2)</f>
        <v>4</v>
      </c>
      <c r="C81">
        <v>66</v>
      </c>
      <c r="D81">
        <v>80</v>
      </c>
    </row>
    <row r="82" spans="1:4" x14ac:dyDescent="0.2">
      <c r="A82" s="10" t="s">
        <v>176</v>
      </c>
      <c r="B82" s="10">
        <f>VLOOKUP(przech_odp_zainteresowanie_esport[[#This Row],[Zainteresowanie e-sport]],zainteresowanie_esport!A:C,2)</f>
        <v>3</v>
      </c>
      <c r="C82">
        <v>67</v>
      </c>
      <c r="D82">
        <v>81</v>
      </c>
    </row>
    <row r="83" spans="1:4" x14ac:dyDescent="0.2">
      <c r="A83" s="10" t="s">
        <v>5</v>
      </c>
      <c r="B83" s="10">
        <f>VLOOKUP(przech_odp_zainteresowanie_esport[[#This Row],[Zainteresowanie e-sport]],zainteresowanie_esport!A:C,2)</f>
        <v>1</v>
      </c>
      <c r="C83">
        <v>68</v>
      </c>
      <c r="D83">
        <v>82</v>
      </c>
    </row>
    <row r="84" spans="1:4" x14ac:dyDescent="0.2">
      <c r="A84" s="10" t="s">
        <v>175</v>
      </c>
      <c r="B84" s="10">
        <f>VLOOKUP(przech_odp_zainteresowanie_esport[[#This Row],[Zainteresowanie e-sport]],zainteresowanie_esport!A:C,2)</f>
        <v>5</v>
      </c>
      <c r="C84">
        <v>69</v>
      </c>
      <c r="D84">
        <v>83</v>
      </c>
    </row>
    <row r="85" spans="1:4" x14ac:dyDescent="0.2">
      <c r="A85" s="10" t="s">
        <v>174</v>
      </c>
      <c r="B85" s="10">
        <f>VLOOKUP(przech_odp_zainteresowanie_esport[[#This Row],[Zainteresowanie e-sport]],zainteresowanie_esport!A:C,2)</f>
        <v>4</v>
      </c>
      <c r="C85">
        <v>69</v>
      </c>
      <c r="D85">
        <v>84</v>
      </c>
    </row>
    <row r="86" spans="1:4" x14ac:dyDescent="0.2">
      <c r="A86" s="10" t="s">
        <v>5</v>
      </c>
      <c r="B86" s="10">
        <f>VLOOKUP(przech_odp_zainteresowanie_esport[[#This Row],[Zainteresowanie e-sport]],zainteresowanie_esport!A:C,2)</f>
        <v>1</v>
      </c>
      <c r="C86">
        <v>70</v>
      </c>
      <c r="D86">
        <v>85</v>
      </c>
    </row>
    <row r="87" spans="1:4" x14ac:dyDescent="0.2">
      <c r="A87" s="10" t="s">
        <v>5</v>
      </c>
      <c r="B87" s="10">
        <f>VLOOKUP(przech_odp_zainteresowanie_esport[[#This Row],[Zainteresowanie e-sport]],zainteresowanie_esport!A:C,2)</f>
        <v>1</v>
      </c>
      <c r="C87">
        <v>71</v>
      </c>
      <c r="D87">
        <v>86</v>
      </c>
    </row>
    <row r="88" spans="1:4" x14ac:dyDescent="0.2">
      <c r="A88" s="10" t="s">
        <v>175</v>
      </c>
      <c r="B88" s="10">
        <f>VLOOKUP(przech_odp_zainteresowanie_esport[[#This Row],[Zainteresowanie e-sport]],zainteresowanie_esport!A:C,2)</f>
        <v>5</v>
      </c>
      <c r="C88">
        <v>72</v>
      </c>
      <c r="D88">
        <v>87</v>
      </c>
    </row>
    <row r="89" spans="1:4" x14ac:dyDescent="0.2">
      <c r="A89" s="10" t="s">
        <v>174</v>
      </c>
      <c r="B89" s="10">
        <f>VLOOKUP(przech_odp_zainteresowanie_esport[[#This Row],[Zainteresowanie e-sport]],zainteresowanie_esport!A:C,2)</f>
        <v>4</v>
      </c>
      <c r="C89">
        <v>72</v>
      </c>
      <c r="D89">
        <v>88</v>
      </c>
    </row>
    <row r="90" spans="1:4" x14ac:dyDescent="0.2">
      <c r="A90" s="10" t="s">
        <v>12</v>
      </c>
      <c r="B90" s="10">
        <f>VLOOKUP(przech_odp_zainteresowanie_esport[[#This Row],[Zainteresowanie e-sport]],zainteresowanie_esport!A:C,2)</f>
        <v>2</v>
      </c>
      <c r="C90">
        <v>73</v>
      </c>
      <c r="D90">
        <v>89</v>
      </c>
    </row>
    <row r="91" spans="1:4" x14ac:dyDescent="0.2">
      <c r="A91" s="10" t="s">
        <v>174</v>
      </c>
      <c r="B91" s="10">
        <f>VLOOKUP(przech_odp_zainteresowanie_esport[[#This Row],[Zainteresowanie e-sport]],zainteresowanie_esport!A:C,2)</f>
        <v>4</v>
      </c>
      <c r="C91">
        <v>74</v>
      </c>
      <c r="D91">
        <v>90</v>
      </c>
    </row>
    <row r="92" spans="1:4" x14ac:dyDescent="0.2">
      <c r="A92" s="10" t="s">
        <v>174</v>
      </c>
      <c r="B92" s="10">
        <f>VLOOKUP(przech_odp_zainteresowanie_esport[[#This Row],[Zainteresowanie e-sport]],zainteresowanie_esport!A:C,2)</f>
        <v>4</v>
      </c>
      <c r="C92">
        <v>75</v>
      </c>
      <c r="D92">
        <v>91</v>
      </c>
    </row>
    <row r="93" spans="1:4" x14ac:dyDescent="0.2">
      <c r="A93" s="10" t="s">
        <v>176</v>
      </c>
      <c r="B93" s="10">
        <f>VLOOKUP(przech_odp_zainteresowanie_esport[[#This Row],[Zainteresowanie e-sport]],zainteresowanie_esport!A:C,2)</f>
        <v>3</v>
      </c>
      <c r="C93">
        <v>76</v>
      </c>
      <c r="D93">
        <v>92</v>
      </c>
    </row>
    <row r="94" spans="1:4" x14ac:dyDescent="0.2">
      <c r="A94" s="10" t="s">
        <v>175</v>
      </c>
      <c r="B94" s="10">
        <f>VLOOKUP(przech_odp_zainteresowanie_esport[[#This Row],[Zainteresowanie e-sport]],zainteresowanie_esport!A:C,2)</f>
        <v>5</v>
      </c>
      <c r="C94">
        <v>77</v>
      </c>
      <c r="D94">
        <v>93</v>
      </c>
    </row>
    <row r="95" spans="1:4" x14ac:dyDescent="0.2">
      <c r="A95" s="10" t="s">
        <v>176</v>
      </c>
      <c r="B95" s="10">
        <f>VLOOKUP(przech_odp_zainteresowanie_esport[[#This Row],[Zainteresowanie e-sport]],zainteresowanie_esport!A:C,2)</f>
        <v>3</v>
      </c>
      <c r="C95">
        <v>78</v>
      </c>
      <c r="D95">
        <v>94</v>
      </c>
    </row>
    <row r="96" spans="1:4" x14ac:dyDescent="0.2">
      <c r="A96" s="10" t="s">
        <v>175</v>
      </c>
      <c r="B96" s="10">
        <f>VLOOKUP(przech_odp_zainteresowanie_esport[[#This Row],[Zainteresowanie e-sport]],zainteresowanie_esport!A:C,2)</f>
        <v>5</v>
      </c>
      <c r="C96">
        <v>79</v>
      </c>
      <c r="D96">
        <v>95</v>
      </c>
    </row>
    <row r="97" spans="1:4" x14ac:dyDescent="0.2">
      <c r="A97" s="10" t="s">
        <v>174</v>
      </c>
      <c r="B97" s="10">
        <f>VLOOKUP(przech_odp_zainteresowanie_esport[[#This Row],[Zainteresowanie e-sport]],zainteresowanie_esport!A:C,2)</f>
        <v>4</v>
      </c>
      <c r="C97">
        <v>79</v>
      </c>
      <c r="D97">
        <v>96</v>
      </c>
    </row>
    <row r="98" spans="1:4" x14ac:dyDescent="0.2">
      <c r="A98" s="10" t="s">
        <v>174</v>
      </c>
      <c r="B98" s="10">
        <f>VLOOKUP(przech_odp_zainteresowanie_esport[[#This Row],[Zainteresowanie e-sport]],zainteresowanie_esport!A:C,2)</f>
        <v>4</v>
      </c>
      <c r="C98">
        <v>80</v>
      </c>
      <c r="D98">
        <v>97</v>
      </c>
    </row>
    <row r="99" spans="1:4" x14ac:dyDescent="0.2">
      <c r="A99" s="10" t="s">
        <v>176</v>
      </c>
      <c r="B99" s="10">
        <f>VLOOKUP(przech_odp_zainteresowanie_esport[[#This Row],[Zainteresowanie e-sport]],zainteresowanie_esport!A:C,2)</f>
        <v>3</v>
      </c>
      <c r="C99">
        <v>81</v>
      </c>
      <c r="D99">
        <v>98</v>
      </c>
    </row>
    <row r="100" spans="1:4" x14ac:dyDescent="0.2">
      <c r="A100" s="10" t="s">
        <v>176</v>
      </c>
      <c r="B100" s="10">
        <f>VLOOKUP(przech_odp_zainteresowanie_esport[[#This Row],[Zainteresowanie e-sport]],zainteresowanie_esport!A:C,2)</f>
        <v>3</v>
      </c>
      <c r="C100">
        <v>82</v>
      </c>
      <c r="D100">
        <v>99</v>
      </c>
    </row>
    <row r="101" spans="1:4" x14ac:dyDescent="0.2">
      <c r="A101" s="10" t="s">
        <v>176</v>
      </c>
      <c r="B101" s="10">
        <f>VLOOKUP(przech_odp_zainteresowanie_esport[[#This Row],[Zainteresowanie e-sport]],zainteresowanie_esport!A:C,2)</f>
        <v>3</v>
      </c>
      <c r="C101">
        <v>83</v>
      </c>
      <c r="D101">
        <v>100</v>
      </c>
    </row>
    <row r="102" spans="1:4" x14ac:dyDescent="0.2">
      <c r="A102" s="10" t="s">
        <v>175</v>
      </c>
      <c r="B102" s="10">
        <f>VLOOKUP(przech_odp_zainteresowanie_esport[[#This Row],[Zainteresowanie e-sport]],zainteresowanie_esport!A:C,2)</f>
        <v>5</v>
      </c>
      <c r="C102">
        <v>84</v>
      </c>
      <c r="D102">
        <v>101</v>
      </c>
    </row>
    <row r="103" spans="1:4" x14ac:dyDescent="0.2">
      <c r="A103" s="10" t="s">
        <v>174</v>
      </c>
      <c r="B103" s="10">
        <f>VLOOKUP(przech_odp_zainteresowanie_esport[[#This Row],[Zainteresowanie e-sport]],zainteresowanie_esport!A:C,2)</f>
        <v>4</v>
      </c>
      <c r="C103">
        <v>84</v>
      </c>
      <c r="D103">
        <v>102</v>
      </c>
    </row>
    <row r="104" spans="1:4" x14ac:dyDescent="0.2">
      <c r="A104" s="10" t="s">
        <v>176</v>
      </c>
      <c r="B104" s="10">
        <f>VLOOKUP(przech_odp_zainteresowanie_esport[[#This Row],[Zainteresowanie e-sport]],zainteresowanie_esport!A:C,2)</f>
        <v>3</v>
      </c>
      <c r="C104">
        <v>85</v>
      </c>
      <c r="D104">
        <v>103</v>
      </c>
    </row>
    <row r="105" spans="1:4" x14ac:dyDescent="0.2">
      <c r="A105" s="10" t="s">
        <v>175</v>
      </c>
      <c r="B105" s="10">
        <f>VLOOKUP(przech_odp_zainteresowanie_esport[[#This Row],[Zainteresowanie e-sport]],zainteresowanie_esport!A:C,2)</f>
        <v>5</v>
      </c>
      <c r="C105">
        <v>86</v>
      </c>
      <c r="D105">
        <v>104</v>
      </c>
    </row>
    <row r="106" spans="1:4" x14ac:dyDescent="0.2">
      <c r="A106" s="10" t="s">
        <v>176</v>
      </c>
      <c r="B106" s="10">
        <f>VLOOKUP(przech_odp_zainteresowanie_esport[[#This Row],[Zainteresowanie e-sport]],zainteresowanie_esport!A:C,2)</f>
        <v>3</v>
      </c>
      <c r="C106">
        <v>87</v>
      </c>
      <c r="D106">
        <v>105</v>
      </c>
    </row>
    <row r="107" spans="1:4" x14ac:dyDescent="0.2">
      <c r="A107" s="10" t="s">
        <v>12</v>
      </c>
      <c r="B107" s="10">
        <f>VLOOKUP(przech_odp_zainteresowanie_esport[[#This Row],[Zainteresowanie e-sport]],zainteresowanie_esport!A:C,2)</f>
        <v>2</v>
      </c>
      <c r="C107">
        <v>88</v>
      </c>
      <c r="D107">
        <v>106</v>
      </c>
    </row>
    <row r="108" spans="1:4" x14ac:dyDescent="0.2">
      <c r="A108" s="10" t="s">
        <v>5</v>
      </c>
      <c r="B108" s="10">
        <f>VLOOKUP(przech_odp_zainteresowanie_esport[[#This Row],[Zainteresowanie e-sport]],zainteresowanie_esport!A:C,2)</f>
        <v>1</v>
      </c>
      <c r="C108">
        <v>89</v>
      </c>
      <c r="D108">
        <v>107</v>
      </c>
    </row>
    <row r="109" spans="1:4" x14ac:dyDescent="0.2">
      <c r="A109" s="10" t="s">
        <v>175</v>
      </c>
      <c r="B109" s="10">
        <f>VLOOKUP(przech_odp_zainteresowanie_esport[[#This Row],[Zainteresowanie e-sport]],zainteresowanie_esport!A:C,2)</f>
        <v>5</v>
      </c>
      <c r="C109">
        <v>90</v>
      </c>
      <c r="D109">
        <v>108</v>
      </c>
    </row>
    <row r="110" spans="1:4" x14ac:dyDescent="0.2">
      <c r="A110" s="10" t="s">
        <v>174</v>
      </c>
      <c r="B110" s="10">
        <f>VLOOKUP(przech_odp_zainteresowanie_esport[[#This Row],[Zainteresowanie e-sport]],zainteresowanie_esport!A:C,2)</f>
        <v>4</v>
      </c>
      <c r="C110">
        <v>90</v>
      </c>
      <c r="D110">
        <v>109</v>
      </c>
    </row>
    <row r="111" spans="1:4" x14ac:dyDescent="0.2">
      <c r="A111" s="10" t="s">
        <v>176</v>
      </c>
      <c r="B111" s="10">
        <f>VLOOKUP(przech_odp_zainteresowanie_esport[[#This Row],[Zainteresowanie e-sport]],zainteresowanie_esport!A:C,2)</f>
        <v>3</v>
      </c>
      <c r="C111">
        <v>91</v>
      </c>
      <c r="D111">
        <v>110</v>
      </c>
    </row>
    <row r="112" spans="1:4" x14ac:dyDescent="0.2">
      <c r="A112" s="10" t="s">
        <v>176</v>
      </c>
      <c r="B112" s="10">
        <f>VLOOKUP(przech_odp_zainteresowanie_esport[[#This Row],[Zainteresowanie e-sport]],zainteresowanie_esport!A:C,2)</f>
        <v>3</v>
      </c>
      <c r="C112">
        <v>92</v>
      </c>
      <c r="D112">
        <v>111</v>
      </c>
    </row>
    <row r="113" spans="1:4" x14ac:dyDescent="0.2">
      <c r="A113" s="10" t="s">
        <v>175</v>
      </c>
      <c r="B113" s="10">
        <f>VLOOKUP(przech_odp_zainteresowanie_esport[[#This Row],[Zainteresowanie e-sport]],zainteresowanie_esport!A:C,2)</f>
        <v>5</v>
      </c>
      <c r="C113">
        <v>93</v>
      </c>
      <c r="D113">
        <v>112</v>
      </c>
    </row>
    <row r="114" spans="1:4" x14ac:dyDescent="0.2">
      <c r="A114" s="10" t="s">
        <v>174</v>
      </c>
      <c r="B114" s="10">
        <f>VLOOKUP(przech_odp_zainteresowanie_esport[[#This Row],[Zainteresowanie e-sport]],zainteresowanie_esport!A:C,2)</f>
        <v>4</v>
      </c>
      <c r="C114">
        <v>94</v>
      </c>
      <c r="D114">
        <v>113</v>
      </c>
    </row>
    <row r="115" spans="1:4" x14ac:dyDescent="0.2">
      <c r="A115" s="10" t="s">
        <v>175</v>
      </c>
      <c r="B115" s="10">
        <f>VLOOKUP(przech_odp_zainteresowanie_esport[[#This Row],[Zainteresowanie e-sport]],zainteresowanie_esport!A:C,2)</f>
        <v>5</v>
      </c>
      <c r="C115">
        <v>95</v>
      </c>
      <c r="D115">
        <v>114</v>
      </c>
    </row>
    <row r="116" spans="1:4" x14ac:dyDescent="0.2">
      <c r="A116" s="10" t="s">
        <v>174</v>
      </c>
      <c r="B116" s="10">
        <f>VLOOKUP(przech_odp_zainteresowanie_esport[[#This Row],[Zainteresowanie e-sport]],zainteresowanie_esport!A:C,2)</f>
        <v>4</v>
      </c>
      <c r="C116">
        <v>95</v>
      </c>
      <c r="D116">
        <v>115</v>
      </c>
    </row>
    <row r="117" spans="1:4" x14ac:dyDescent="0.2">
      <c r="A117" s="10" t="s">
        <v>12</v>
      </c>
      <c r="B117" s="10">
        <f>VLOOKUP(przech_odp_zainteresowanie_esport[[#This Row],[Zainteresowanie e-sport]],zainteresowanie_esport!A:C,2)</f>
        <v>2</v>
      </c>
      <c r="C117">
        <v>96</v>
      </c>
      <c r="D117">
        <v>116</v>
      </c>
    </row>
    <row r="118" spans="1:4" x14ac:dyDescent="0.2">
      <c r="A118" s="10" t="s">
        <v>176</v>
      </c>
      <c r="B118" s="10">
        <f>VLOOKUP(przech_odp_zainteresowanie_esport[[#This Row],[Zainteresowanie e-sport]],zainteresowanie_esport!A:C,2)</f>
        <v>3</v>
      </c>
      <c r="C118">
        <v>97</v>
      </c>
      <c r="D118">
        <v>117</v>
      </c>
    </row>
    <row r="119" spans="1:4" x14ac:dyDescent="0.2">
      <c r="A119" s="10" t="s">
        <v>175</v>
      </c>
      <c r="B119" s="10">
        <f>VLOOKUP(przech_odp_zainteresowanie_esport[[#This Row],[Zainteresowanie e-sport]],zainteresowanie_esport!A:C,2)</f>
        <v>5</v>
      </c>
      <c r="C119">
        <v>98</v>
      </c>
      <c r="D119">
        <v>118</v>
      </c>
    </row>
    <row r="120" spans="1:4" x14ac:dyDescent="0.2">
      <c r="A120" s="10" t="s">
        <v>174</v>
      </c>
      <c r="B120" s="10">
        <f>VLOOKUP(przech_odp_zainteresowanie_esport[[#This Row],[Zainteresowanie e-sport]],zainteresowanie_esport!A:C,2)</f>
        <v>4</v>
      </c>
      <c r="C120">
        <v>98</v>
      </c>
      <c r="D120">
        <v>119</v>
      </c>
    </row>
    <row r="121" spans="1:4" x14ac:dyDescent="0.2">
      <c r="A121" s="10" t="s">
        <v>5</v>
      </c>
      <c r="B121" s="10">
        <f>VLOOKUP(przech_odp_zainteresowanie_esport[[#This Row],[Zainteresowanie e-sport]],zainteresowanie_esport!A:C,2)</f>
        <v>1</v>
      </c>
      <c r="C121">
        <v>99</v>
      </c>
      <c r="D121">
        <v>120</v>
      </c>
    </row>
    <row r="122" spans="1:4" x14ac:dyDescent="0.2">
      <c r="A122" s="10" t="s">
        <v>5</v>
      </c>
      <c r="B122" s="10">
        <f>VLOOKUP(przech_odp_zainteresowanie_esport[[#This Row],[Zainteresowanie e-sport]],zainteresowanie_esport!A:C,2)</f>
        <v>1</v>
      </c>
      <c r="C122">
        <v>100</v>
      </c>
      <c r="D122">
        <v>121</v>
      </c>
    </row>
    <row r="123" spans="1:4" x14ac:dyDescent="0.2">
      <c r="A123" s="10" t="s">
        <v>176</v>
      </c>
      <c r="B123" s="10">
        <f>VLOOKUP(przech_odp_zainteresowanie_esport[[#This Row],[Zainteresowanie e-sport]],zainteresowanie_esport!A:C,2)</f>
        <v>3</v>
      </c>
      <c r="C123">
        <v>101</v>
      </c>
      <c r="D123">
        <v>122</v>
      </c>
    </row>
    <row r="124" spans="1:4" x14ac:dyDescent="0.2">
      <c r="A124" s="10" t="s">
        <v>5</v>
      </c>
      <c r="B124" s="10">
        <f>VLOOKUP(przech_odp_zainteresowanie_esport[[#This Row],[Zainteresowanie e-sport]],zainteresowanie_esport!A:C,2)</f>
        <v>1</v>
      </c>
      <c r="C124">
        <v>102</v>
      </c>
      <c r="D124">
        <v>123</v>
      </c>
    </row>
    <row r="125" spans="1:4" x14ac:dyDescent="0.2">
      <c r="A125" s="10" t="s">
        <v>176</v>
      </c>
      <c r="B125" s="10">
        <f>VLOOKUP(przech_odp_zainteresowanie_esport[[#This Row],[Zainteresowanie e-sport]],zainteresowanie_esport!A:C,2)</f>
        <v>3</v>
      </c>
      <c r="C125">
        <v>103</v>
      </c>
      <c r="D125">
        <v>124</v>
      </c>
    </row>
    <row r="126" spans="1:4" x14ac:dyDescent="0.2">
      <c r="A126" s="10" t="s">
        <v>174</v>
      </c>
      <c r="B126" s="10">
        <f>VLOOKUP(przech_odp_zainteresowanie_esport[[#This Row],[Zainteresowanie e-sport]],zainteresowanie_esport!A:C,2)</f>
        <v>4</v>
      </c>
      <c r="C126">
        <v>104</v>
      </c>
      <c r="D126">
        <v>125</v>
      </c>
    </row>
    <row r="127" spans="1:4" x14ac:dyDescent="0.2">
      <c r="A127" s="10" t="s">
        <v>176</v>
      </c>
      <c r="B127" s="10">
        <f>VLOOKUP(przech_odp_zainteresowanie_esport[[#This Row],[Zainteresowanie e-sport]],zainteresowanie_esport!A:C,2)</f>
        <v>3</v>
      </c>
      <c r="C127">
        <v>105</v>
      </c>
      <c r="D127">
        <v>126</v>
      </c>
    </row>
    <row r="128" spans="1:4" x14ac:dyDescent="0.2">
      <c r="A128" s="10" t="s">
        <v>176</v>
      </c>
      <c r="B128" s="10">
        <f>VLOOKUP(przech_odp_zainteresowanie_esport[[#This Row],[Zainteresowanie e-sport]],zainteresowanie_esport!A:C,2)</f>
        <v>3</v>
      </c>
      <c r="C128">
        <v>106</v>
      </c>
      <c r="D128">
        <v>127</v>
      </c>
    </row>
    <row r="129" spans="1:4" x14ac:dyDescent="0.2">
      <c r="A129" s="10" t="s">
        <v>174</v>
      </c>
      <c r="B129" s="10">
        <f>VLOOKUP(przech_odp_zainteresowanie_esport[[#This Row],[Zainteresowanie e-sport]],zainteresowanie_esport!A:C,2)</f>
        <v>4</v>
      </c>
      <c r="C129">
        <v>107</v>
      </c>
      <c r="D129">
        <v>128</v>
      </c>
    </row>
    <row r="130" spans="1:4" x14ac:dyDescent="0.2">
      <c r="A130" s="10" t="s">
        <v>174</v>
      </c>
      <c r="B130" s="10">
        <f>VLOOKUP(przech_odp_zainteresowanie_esport[[#This Row],[Zainteresowanie e-sport]],zainteresowanie_esport!A:C,2)</f>
        <v>4</v>
      </c>
      <c r="C130">
        <v>108</v>
      </c>
      <c r="D130">
        <v>129</v>
      </c>
    </row>
    <row r="131" spans="1:4" x14ac:dyDescent="0.2">
      <c r="A131" s="10" t="s">
        <v>176</v>
      </c>
      <c r="B131" s="10">
        <f>VLOOKUP(przech_odp_zainteresowanie_esport[[#This Row],[Zainteresowanie e-sport]],zainteresowanie_esport!A:C,2)</f>
        <v>3</v>
      </c>
      <c r="C131">
        <v>109</v>
      </c>
      <c r="D131">
        <v>130</v>
      </c>
    </row>
    <row r="132" spans="1:4" x14ac:dyDescent="0.2">
      <c r="A132" s="10" t="s">
        <v>175</v>
      </c>
      <c r="B132" s="10">
        <f>VLOOKUP(przech_odp_zainteresowanie_esport[[#This Row],[Zainteresowanie e-sport]],zainteresowanie_esport!A:C,2)</f>
        <v>5</v>
      </c>
      <c r="C132">
        <v>110</v>
      </c>
      <c r="D132">
        <v>131</v>
      </c>
    </row>
    <row r="133" spans="1:4" x14ac:dyDescent="0.2">
      <c r="A133" s="10" t="s">
        <v>176</v>
      </c>
      <c r="B133" s="10">
        <f>VLOOKUP(przech_odp_zainteresowanie_esport[[#This Row],[Zainteresowanie e-sport]],zainteresowanie_esport!A:C,2)</f>
        <v>3</v>
      </c>
      <c r="C133">
        <v>111</v>
      </c>
      <c r="D133">
        <v>132</v>
      </c>
    </row>
    <row r="134" spans="1:4" x14ac:dyDescent="0.2">
      <c r="A134" s="10" t="s">
        <v>174</v>
      </c>
      <c r="B134" s="10">
        <f>VLOOKUP(przech_odp_zainteresowanie_esport[[#This Row],[Zainteresowanie e-sport]],zainteresowanie_esport!A:C,2)</f>
        <v>4</v>
      </c>
      <c r="C134">
        <v>112</v>
      </c>
      <c r="D134">
        <v>133</v>
      </c>
    </row>
    <row r="135" spans="1:4" x14ac:dyDescent="0.2">
      <c r="A135" s="10" t="s">
        <v>176</v>
      </c>
      <c r="B135" s="10">
        <f>VLOOKUP(przech_odp_zainteresowanie_esport[[#This Row],[Zainteresowanie e-sport]],zainteresowanie_esport!A:C,2)</f>
        <v>3</v>
      </c>
      <c r="C135">
        <v>113</v>
      </c>
      <c r="D135">
        <v>134</v>
      </c>
    </row>
    <row r="136" spans="1:4" x14ac:dyDescent="0.2">
      <c r="A136" s="10" t="s">
        <v>176</v>
      </c>
      <c r="B136" s="10">
        <f>VLOOKUP(przech_odp_zainteresowanie_esport[[#This Row],[Zainteresowanie e-sport]],zainteresowanie_esport!A:C,2)</f>
        <v>3</v>
      </c>
      <c r="C136">
        <v>114</v>
      </c>
      <c r="D136">
        <v>135</v>
      </c>
    </row>
    <row r="137" spans="1:4" x14ac:dyDescent="0.2">
      <c r="A137" s="10" t="s">
        <v>175</v>
      </c>
      <c r="B137" s="10">
        <f>VLOOKUP(przech_odp_zainteresowanie_esport[[#This Row],[Zainteresowanie e-sport]],zainteresowanie_esport!A:C,2)</f>
        <v>5</v>
      </c>
      <c r="C137">
        <v>115</v>
      </c>
      <c r="D137">
        <v>136</v>
      </c>
    </row>
    <row r="138" spans="1:4" x14ac:dyDescent="0.2">
      <c r="A138" s="10" t="s">
        <v>174</v>
      </c>
      <c r="B138" s="10">
        <f>VLOOKUP(przech_odp_zainteresowanie_esport[[#This Row],[Zainteresowanie e-sport]],zainteresowanie_esport!A:C,2)</f>
        <v>4</v>
      </c>
      <c r="C138">
        <v>115</v>
      </c>
      <c r="D138">
        <v>137</v>
      </c>
    </row>
    <row r="139" spans="1:4" x14ac:dyDescent="0.2">
      <c r="A139" s="10" t="s">
        <v>174</v>
      </c>
      <c r="B139" s="10">
        <f>VLOOKUP(przech_odp_zainteresowanie_esport[[#This Row],[Zainteresowanie e-sport]],zainteresowanie_esport!A:C,2)</f>
        <v>4</v>
      </c>
      <c r="C139">
        <v>116</v>
      </c>
      <c r="D139">
        <v>138</v>
      </c>
    </row>
    <row r="140" spans="1:4" x14ac:dyDescent="0.2">
      <c r="A140" s="10" t="s">
        <v>176</v>
      </c>
      <c r="B140" s="10">
        <f>VLOOKUP(przech_odp_zainteresowanie_esport[[#This Row],[Zainteresowanie e-sport]],zainteresowanie_esport!A:C,2)</f>
        <v>3</v>
      </c>
      <c r="C140">
        <v>117</v>
      </c>
      <c r="D140">
        <v>139</v>
      </c>
    </row>
    <row r="141" spans="1:4" x14ac:dyDescent="0.2">
      <c r="A141" s="10" t="s">
        <v>176</v>
      </c>
      <c r="B141" s="10">
        <f>VLOOKUP(przech_odp_zainteresowanie_esport[[#This Row],[Zainteresowanie e-sport]],zainteresowanie_esport!A:C,2)</f>
        <v>3</v>
      </c>
      <c r="C141">
        <v>118</v>
      </c>
      <c r="D141">
        <v>140</v>
      </c>
    </row>
    <row r="142" spans="1:4" x14ac:dyDescent="0.2">
      <c r="A142" s="10" t="s">
        <v>174</v>
      </c>
      <c r="B142" s="10">
        <f>VLOOKUP(przech_odp_zainteresowanie_esport[[#This Row],[Zainteresowanie e-sport]],zainteresowanie_esport!A:C,2)</f>
        <v>4</v>
      </c>
      <c r="C142">
        <v>119</v>
      </c>
      <c r="D142">
        <v>141</v>
      </c>
    </row>
    <row r="143" spans="1:4" x14ac:dyDescent="0.2">
      <c r="A143" s="10" t="s">
        <v>12</v>
      </c>
      <c r="B143" s="10">
        <f>VLOOKUP(przech_odp_zainteresowanie_esport[[#This Row],[Zainteresowanie e-sport]],zainteresowanie_esport!A:C,2)</f>
        <v>2</v>
      </c>
      <c r="C143">
        <v>120</v>
      </c>
      <c r="D143">
        <v>142</v>
      </c>
    </row>
    <row r="144" spans="1:4" x14ac:dyDescent="0.2">
      <c r="A144" s="10" t="s">
        <v>176</v>
      </c>
      <c r="B144" s="10">
        <f>VLOOKUP(przech_odp_zainteresowanie_esport[[#This Row],[Zainteresowanie e-sport]],zainteresowanie_esport!A:C,2)</f>
        <v>3</v>
      </c>
      <c r="C144">
        <v>121</v>
      </c>
      <c r="D144">
        <v>143</v>
      </c>
    </row>
    <row r="145" spans="1:4" x14ac:dyDescent="0.2">
      <c r="A145" s="10" t="s">
        <v>175</v>
      </c>
      <c r="B145" s="10">
        <f>VLOOKUP(przech_odp_zainteresowanie_esport[[#This Row],[Zainteresowanie e-sport]],zainteresowanie_esport!A:C,2)</f>
        <v>5</v>
      </c>
      <c r="C145">
        <v>122</v>
      </c>
      <c r="D145">
        <v>144</v>
      </c>
    </row>
    <row r="146" spans="1:4" x14ac:dyDescent="0.2">
      <c r="A146" s="10" t="s">
        <v>174</v>
      </c>
      <c r="B146" s="10">
        <f>VLOOKUP(przech_odp_zainteresowanie_esport[[#This Row],[Zainteresowanie e-sport]],zainteresowanie_esport!A:C,2)</f>
        <v>4</v>
      </c>
      <c r="C146">
        <v>122</v>
      </c>
      <c r="D146">
        <v>145</v>
      </c>
    </row>
    <row r="147" spans="1:4" x14ac:dyDescent="0.2">
      <c r="A147" s="10" t="s">
        <v>174</v>
      </c>
      <c r="B147" s="10">
        <f>VLOOKUP(przech_odp_zainteresowanie_esport[[#This Row],[Zainteresowanie e-sport]],zainteresowanie_esport!A:C,2)</f>
        <v>4</v>
      </c>
      <c r="C147">
        <v>123</v>
      </c>
      <c r="D147">
        <v>146</v>
      </c>
    </row>
    <row r="148" spans="1:4" x14ac:dyDescent="0.2">
      <c r="A148" s="10" t="s">
        <v>5</v>
      </c>
      <c r="B148" s="10">
        <f>VLOOKUP(przech_odp_zainteresowanie_esport[[#This Row],[Zainteresowanie e-sport]],zainteresowanie_esport!A:C,2)</f>
        <v>1</v>
      </c>
      <c r="C148">
        <v>124</v>
      </c>
      <c r="D148">
        <v>147</v>
      </c>
    </row>
    <row r="149" spans="1:4" x14ac:dyDescent="0.2">
      <c r="A149" s="10" t="s">
        <v>5</v>
      </c>
      <c r="B149" s="10">
        <f>VLOOKUP(przech_odp_zainteresowanie_esport[[#This Row],[Zainteresowanie e-sport]],zainteresowanie_esport!A:C,2)</f>
        <v>1</v>
      </c>
      <c r="C149">
        <v>125</v>
      </c>
      <c r="D149">
        <v>148</v>
      </c>
    </row>
    <row r="150" spans="1:4" x14ac:dyDescent="0.2">
      <c r="A150" s="10" t="s">
        <v>174</v>
      </c>
      <c r="B150" s="10">
        <f>VLOOKUP(przech_odp_zainteresowanie_esport[[#This Row],[Zainteresowanie e-sport]],zainteresowanie_esport!A:C,2)</f>
        <v>4</v>
      </c>
      <c r="C150">
        <v>126</v>
      </c>
      <c r="D150">
        <v>149</v>
      </c>
    </row>
    <row r="151" spans="1:4" x14ac:dyDescent="0.2">
      <c r="A151" s="10" t="s">
        <v>175</v>
      </c>
      <c r="B151" s="10">
        <f>VLOOKUP(przech_odp_zainteresowanie_esport[[#This Row],[Zainteresowanie e-sport]],zainteresowanie_esport!A:C,2)</f>
        <v>5</v>
      </c>
      <c r="C151">
        <v>127</v>
      </c>
      <c r="D151">
        <v>150</v>
      </c>
    </row>
    <row r="152" spans="1:4" x14ac:dyDescent="0.2">
      <c r="A152" s="10" t="s">
        <v>174</v>
      </c>
      <c r="B152" s="10">
        <f>VLOOKUP(przech_odp_zainteresowanie_esport[[#This Row],[Zainteresowanie e-sport]],zainteresowanie_esport!A:C,2)</f>
        <v>4</v>
      </c>
      <c r="C152">
        <v>127</v>
      </c>
      <c r="D152">
        <v>151</v>
      </c>
    </row>
    <row r="153" spans="1:4" x14ac:dyDescent="0.2">
      <c r="A153" s="10" t="s">
        <v>175</v>
      </c>
      <c r="B153" s="10">
        <f>VLOOKUP(przech_odp_zainteresowanie_esport[[#This Row],[Zainteresowanie e-sport]],zainteresowanie_esport!A:C,2)</f>
        <v>5</v>
      </c>
      <c r="C153">
        <v>128</v>
      </c>
      <c r="D153">
        <v>152</v>
      </c>
    </row>
    <row r="154" spans="1:4" x14ac:dyDescent="0.2">
      <c r="A154" s="10" t="s">
        <v>174</v>
      </c>
      <c r="B154" s="10">
        <f>VLOOKUP(przech_odp_zainteresowanie_esport[[#This Row],[Zainteresowanie e-sport]],zainteresowanie_esport!A:C,2)</f>
        <v>4</v>
      </c>
      <c r="C154">
        <v>128</v>
      </c>
      <c r="D154">
        <v>153</v>
      </c>
    </row>
    <row r="155" spans="1:4" x14ac:dyDescent="0.2">
      <c r="A155" s="10" t="s">
        <v>176</v>
      </c>
      <c r="B155" s="10">
        <f>VLOOKUP(przech_odp_zainteresowanie_esport[[#This Row],[Zainteresowanie e-sport]],zainteresowanie_esport!A:C,2)</f>
        <v>3</v>
      </c>
      <c r="C155">
        <v>129</v>
      </c>
      <c r="D155">
        <v>154</v>
      </c>
    </row>
    <row r="156" spans="1:4" x14ac:dyDescent="0.2">
      <c r="A156" s="10" t="s">
        <v>174</v>
      </c>
      <c r="B156" s="10">
        <f>VLOOKUP(przech_odp_zainteresowanie_esport[[#This Row],[Zainteresowanie e-sport]],zainteresowanie_esport!A:C,2)</f>
        <v>4</v>
      </c>
      <c r="C156">
        <v>130</v>
      </c>
      <c r="D156">
        <v>155</v>
      </c>
    </row>
    <row r="157" spans="1:4" x14ac:dyDescent="0.2">
      <c r="A157" s="10" t="s">
        <v>174</v>
      </c>
      <c r="B157" s="10">
        <f>VLOOKUP(przech_odp_zainteresowanie_esport[[#This Row],[Zainteresowanie e-sport]],zainteresowanie_esport!A:C,2)</f>
        <v>4</v>
      </c>
      <c r="C157">
        <v>131</v>
      </c>
      <c r="D157">
        <v>156</v>
      </c>
    </row>
    <row r="158" spans="1:4" x14ac:dyDescent="0.2">
      <c r="A158" s="10" t="s">
        <v>176</v>
      </c>
      <c r="B158" s="10">
        <f>VLOOKUP(przech_odp_zainteresowanie_esport[[#This Row],[Zainteresowanie e-sport]],zainteresowanie_esport!A:C,2)</f>
        <v>3</v>
      </c>
      <c r="C158">
        <v>131</v>
      </c>
      <c r="D158">
        <v>157</v>
      </c>
    </row>
    <row r="159" spans="1:4" x14ac:dyDescent="0.2">
      <c r="A159" s="10" t="s">
        <v>176</v>
      </c>
      <c r="B159" s="10">
        <f>VLOOKUP(przech_odp_zainteresowanie_esport[[#This Row],[Zainteresowanie e-sport]],zainteresowanie_esport!A:C,2)</f>
        <v>3</v>
      </c>
      <c r="C159">
        <v>132</v>
      </c>
      <c r="D159">
        <v>158</v>
      </c>
    </row>
    <row r="160" spans="1:4" x14ac:dyDescent="0.2">
      <c r="A160" s="10" t="s">
        <v>174</v>
      </c>
      <c r="B160" s="10">
        <f>VLOOKUP(przech_odp_zainteresowanie_esport[[#This Row],[Zainteresowanie e-sport]],zainteresowanie_esport!A:C,2)</f>
        <v>4</v>
      </c>
      <c r="C160">
        <v>133</v>
      </c>
      <c r="D160">
        <v>159</v>
      </c>
    </row>
    <row r="161" spans="1:4" x14ac:dyDescent="0.2">
      <c r="A161" s="10" t="s">
        <v>176</v>
      </c>
      <c r="B161" s="10">
        <f>VLOOKUP(przech_odp_zainteresowanie_esport[[#This Row],[Zainteresowanie e-sport]],zainteresowanie_esport!A:C,2)</f>
        <v>3</v>
      </c>
      <c r="C161">
        <v>134</v>
      </c>
      <c r="D161">
        <v>160</v>
      </c>
    </row>
    <row r="162" spans="1:4" x14ac:dyDescent="0.2">
      <c r="A162" s="10" t="s">
        <v>174</v>
      </c>
      <c r="B162" s="10">
        <f>VLOOKUP(przech_odp_zainteresowanie_esport[[#This Row],[Zainteresowanie e-sport]],zainteresowanie_esport!A:C,2)</f>
        <v>4</v>
      </c>
      <c r="C162">
        <v>135</v>
      </c>
      <c r="D162">
        <v>161</v>
      </c>
    </row>
    <row r="163" spans="1:4" x14ac:dyDescent="0.2">
      <c r="A163" s="10" t="s">
        <v>5</v>
      </c>
      <c r="B163" s="10">
        <f>VLOOKUP(przech_odp_zainteresowanie_esport[[#This Row],[Zainteresowanie e-sport]],zainteresowanie_esport!A:C,2)</f>
        <v>1</v>
      </c>
      <c r="C163">
        <v>136</v>
      </c>
      <c r="D163">
        <v>162</v>
      </c>
    </row>
    <row r="164" spans="1:4" x14ac:dyDescent="0.2">
      <c r="A164" s="10" t="s">
        <v>174</v>
      </c>
      <c r="B164" s="10">
        <f>VLOOKUP(przech_odp_zainteresowanie_esport[[#This Row],[Zainteresowanie e-sport]],zainteresowanie_esport!A:C,2)</f>
        <v>4</v>
      </c>
      <c r="C164">
        <v>137</v>
      </c>
      <c r="D164">
        <v>163</v>
      </c>
    </row>
    <row r="165" spans="1:4" x14ac:dyDescent="0.2">
      <c r="A165" s="10" t="s">
        <v>175</v>
      </c>
      <c r="B165" s="10">
        <f>VLOOKUP(przech_odp_zainteresowanie_esport[[#This Row],[Zainteresowanie e-sport]],zainteresowanie_esport!A:C,2)</f>
        <v>5</v>
      </c>
      <c r="C165">
        <v>138</v>
      </c>
      <c r="D165">
        <v>164</v>
      </c>
    </row>
    <row r="166" spans="1:4" x14ac:dyDescent="0.2">
      <c r="A166" s="10" t="s">
        <v>174</v>
      </c>
      <c r="B166" s="10">
        <f>VLOOKUP(przech_odp_zainteresowanie_esport[[#This Row],[Zainteresowanie e-sport]],zainteresowanie_esport!A:C,2)</f>
        <v>4</v>
      </c>
      <c r="C166">
        <v>138</v>
      </c>
      <c r="D166">
        <v>165</v>
      </c>
    </row>
    <row r="167" spans="1:4" x14ac:dyDescent="0.2">
      <c r="A167" s="10" t="s">
        <v>176</v>
      </c>
      <c r="B167" s="10">
        <f>VLOOKUP(przech_odp_zainteresowanie_esport[[#This Row],[Zainteresowanie e-sport]],zainteresowanie_esport!A:C,2)</f>
        <v>3</v>
      </c>
      <c r="C167">
        <v>139</v>
      </c>
      <c r="D167">
        <v>166</v>
      </c>
    </row>
    <row r="168" spans="1:4" x14ac:dyDescent="0.2">
      <c r="A168" s="10" t="s">
        <v>5</v>
      </c>
      <c r="B168" s="10">
        <f>VLOOKUP(przech_odp_zainteresowanie_esport[[#This Row],[Zainteresowanie e-sport]],zainteresowanie_esport!A:C,2)</f>
        <v>1</v>
      </c>
      <c r="C168">
        <v>140</v>
      </c>
      <c r="D168">
        <v>167</v>
      </c>
    </row>
    <row r="169" spans="1:4" x14ac:dyDescent="0.2">
      <c r="A169" s="10" t="s">
        <v>176</v>
      </c>
      <c r="B169" s="10">
        <f>VLOOKUP(przech_odp_zainteresowanie_esport[[#This Row],[Zainteresowanie e-sport]],zainteresowanie_esport!A:C,2)</f>
        <v>3</v>
      </c>
      <c r="C169">
        <v>141</v>
      </c>
      <c r="D169">
        <v>168</v>
      </c>
    </row>
    <row r="170" spans="1:4" x14ac:dyDescent="0.2">
      <c r="A170" s="10" t="s">
        <v>175</v>
      </c>
      <c r="B170" s="10">
        <f>VLOOKUP(przech_odp_zainteresowanie_esport[[#This Row],[Zainteresowanie e-sport]],zainteresowanie_esport!A:C,2)</f>
        <v>5</v>
      </c>
      <c r="C170">
        <v>142</v>
      </c>
      <c r="D170">
        <v>169</v>
      </c>
    </row>
    <row r="171" spans="1:4" x14ac:dyDescent="0.2">
      <c r="A171" s="10" t="s">
        <v>174</v>
      </c>
      <c r="B171" s="10">
        <f>VLOOKUP(przech_odp_zainteresowanie_esport[[#This Row],[Zainteresowanie e-sport]],zainteresowanie_esport!A:C,2)</f>
        <v>4</v>
      </c>
      <c r="C171">
        <v>142</v>
      </c>
      <c r="D171">
        <v>170</v>
      </c>
    </row>
    <row r="172" spans="1:4" x14ac:dyDescent="0.2">
      <c r="A172" s="10" t="s">
        <v>174</v>
      </c>
      <c r="B172" s="10">
        <f>VLOOKUP(przech_odp_zainteresowanie_esport[[#This Row],[Zainteresowanie e-sport]],zainteresowanie_esport!A:C,2)</f>
        <v>4</v>
      </c>
      <c r="C172">
        <v>143</v>
      </c>
      <c r="D172">
        <v>171</v>
      </c>
    </row>
    <row r="173" spans="1:4" x14ac:dyDescent="0.2">
      <c r="A173" s="10" t="s">
        <v>176</v>
      </c>
      <c r="B173" s="10">
        <f>VLOOKUP(przech_odp_zainteresowanie_esport[[#This Row],[Zainteresowanie e-sport]],zainteresowanie_esport!A:C,2)</f>
        <v>3</v>
      </c>
      <c r="C173">
        <v>144</v>
      </c>
      <c r="D173">
        <v>172</v>
      </c>
    </row>
    <row r="174" spans="1:4" x14ac:dyDescent="0.2">
      <c r="A174" s="10" t="s">
        <v>12</v>
      </c>
      <c r="B174" s="10">
        <f>VLOOKUP(przech_odp_zainteresowanie_esport[[#This Row],[Zainteresowanie e-sport]],zainteresowanie_esport!A:C,2)</f>
        <v>2</v>
      </c>
      <c r="C174">
        <v>145</v>
      </c>
      <c r="D174">
        <v>173</v>
      </c>
    </row>
    <row r="175" spans="1:4" x14ac:dyDescent="0.2">
      <c r="A175" s="10" t="s">
        <v>175</v>
      </c>
      <c r="B175" s="10">
        <f>VLOOKUP(przech_odp_zainteresowanie_esport[[#This Row],[Zainteresowanie e-sport]],zainteresowanie_esport!A:C,2)</f>
        <v>5</v>
      </c>
      <c r="C175">
        <v>146</v>
      </c>
      <c r="D175">
        <v>174</v>
      </c>
    </row>
    <row r="176" spans="1:4" x14ac:dyDescent="0.2">
      <c r="A176" s="10" t="s">
        <v>174</v>
      </c>
      <c r="B176" s="10">
        <f>VLOOKUP(przech_odp_zainteresowanie_esport[[#This Row],[Zainteresowanie e-sport]],zainteresowanie_esport!A:C,2)</f>
        <v>4</v>
      </c>
      <c r="C176">
        <v>146</v>
      </c>
      <c r="D176">
        <v>175</v>
      </c>
    </row>
    <row r="177" spans="1:4" x14ac:dyDescent="0.2">
      <c r="A177" s="10" t="s">
        <v>12</v>
      </c>
      <c r="B177" s="10">
        <f>VLOOKUP(przech_odp_zainteresowanie_esport[[#This Row],[Zainteresowanie e-sport]],zainteresowanie_esport!A:C,2)</f>
        <v>2</v>
      </c>
      <c r="C177">
        <v>147</v>
      </c>
      <c r="D177">
        <v>176</v>
      </c>
    </row>
    <row r="178" spans="1:4" x14ac:dyDescent="0.2">
      <c r="A178" s="10" t="s">
        <v>175</v>
      </c>
      <c r="B178" s="10">
        <f>VLOOKUP(przech_odp_zainteresowanie_esport[[#This Row],[Zainteresowanie e-sport]],zainteresowanie_esport!A:C,2)</f>
        <v>5</v>
      </c>
      <c r="C178">
        <v>148</v>
      </c>
      <c r="D178">
        <v>177</v>
      </c>
    </row>
    <row r="179" spans="1:4" x14ac:dyDescent="0.2">
      <c r="A179" s="10" t="s">
        <v>174</v>
      </c>
      <c r="B179" s="10">
        <f>VLOOKUP(przech_odp_zainteresowanie_esport[[#This Row],[Zainteresowanie e-sport]],zainteresowanie_esport!A:C,2)</f>
        <v>4</v>
      </c>
      <c r="C179">
        <v>148</v>
      </c>
      <c r="D179">
        <v>178</v>
      </c>
    </row>
    <row r="180" spans="1:4" x14ac:dyDescent="0.2">
      <c r="A180" s="10" t="s">
        <v>176</v>
      </c>
      <c r="B180" s="10">
        <f>VLOOKUP(przech_odp_zainteresowanie_esport[[#This Row],[Zainteresowanie e-sport]],zainteresowanie_esport!A:C,2)</f>
        <v>3</v>
      </c>
      <c r="C180">
        <v>149</v>
      </c>
      <c r="D180">
        <v>179</v>
      </c>
    </row>
    <row r="181" spans="1:4" x14ac:dyDescent="0.2">
      <c r="A181" s="10" t="s">
        <v>175</v>
      </c>
      <c r="B181" s="10">
        <f>VLOOKUP(przech_odp_zainteresowanie_esport[[#This Row],[Zainteresowanie e-sport]],zainteresowanie_esport!A:C,2)</f>
        <v>5</v>
      </c>
      <c r="C181">
        <v>150</v>
      </c>
      <c r="D181">
        <v>180</v>
      </c>
    </row>
    <row r="182" spans="1:4" x14ac:dyDescent="0.2">
      <c r="A182" s="10" t="s">
        <v>174</v>
      </c>
      <c r="B182" s="10">
        <f>VLOOKUP(przech_odp_zainteresowanie_esport[[#This Row],[Zainteresowanie e-sport]],zainteresowanie_esport!A:C,2)</f>
        <v>4</v>
      </c>
      <c r="C182">
        <v>150</v>
      </c>
      <c r="D182">
        <v>181</v>
      </c>
    </row>
    <row r="183" spans="1:4" x14ac:dyDescent="0.2">
      <c r="A183" s="10" t="s">
        <v>5</v>
      </c>
      <c r="B183" s="10">
        <f>VLOOKUP(przech_odp_zainteresowanie_esport[[#This Row],[Zainteresowanie e-sport]],zainteresowanie_esport!A:C,2)</f>
        <v>1</v>
      </c>
      <c r="C183">
        <v>151</v>
      </c>
      <c r="D183">
        <v>182</v>
      </c>
    </row>
    <row r="184" spans="1:4" x14ac:dyDescent="0.2">
      <c r="A184" s="10" t="s">
        <v>175</v>
      </c>
      <c r="B184" s="10">
        <f>VLOOKUP(przech_odp_zainteresowanie_esport[[#This Row],[Zainteresowanie e-sport]],zainteresowanie_esport!A:C,2)</f>
        <v>5</v>
      </c>
      <c r="C184">
        <v>152</v>
      </c>
      <c r="D184">
        <v>183</v>
      </c>
    </row>
    <row r="185" spans="1:4" x14ac:dyDescent="0.2">
      <c r="A185" s="10" t="s">
        <v>174</v>
      </c>
      <c r="B185" s="10">
        <f>VLOOKUP(przech_odp_zainteresowanie_esport[[#This Row],[Zainteresowanie e-sport]],zainteresowanie_esport!A:C,2)</f>
        <v>4</v>
      </c>
      <c r="C185">
        <v>152</v>
      </c>
      <c r="D185">
        <v>184</v>
      </c>
    </row>
    <row r="186" spans="1:4" x14ac:dyDescent="0.2">
      <c r="A186" s="10" t="s">
        <v>174</v>
      </c>
      <c r="B186" s="10">
        <f>VLOOKUP(przech_odp_zainteresowanie_esport[[#This Row],[Zainteresowanie e-sport]],zainteresowanie_esport!A:C,2)</f>
        <v>4</v>
      </c>
      <c r="C186">
        <v>153</v>
      </c>
      <c r="D186">
        <v>185</v>
      </c>
    </row>
    <row r="187" spans="1:4" x14ac:dyDescent="0.2">
      <c r="A187" s="10" t="s">
        <v>176</v>
      </c>
      <c r="B187" s="10">
        <f>VLOOKUP(przech_odp_zainteresowanie_esport[[#This Row],[Zainteresowanie e-sport]],zainteresowanie_esport!A:C,2)</f>
        <v>3</v>
      </c>
      <c r="C187">
        <v>153</v>
      </c>
      <c r="D187">
        <v>186</v>
      </c>
    </row>
    <row r="188" spans="1:4" x14ac:dyDescent="0.2">
      <c r="A188" s="10" t="s">
        <v>176</v>
      </c>
      <c r="B188" s="10">
        <f>VLOOKUP(przech_odp_zainteresowanie_esport[[#This Row],[Zainteresowanie e-sport]],zainteresowanie_esport!A:C,2)</f>
        <v>3</v>
      </c>
      <c r="C188">
        <v>154</v>
      </c>
      <c r="D188">
        <v>187</v>
      </c>
    </row>
    <row r="189" spans="1:4" x14ac:dyDescent="0.2">
      <c r="A189" s="10" t="s">
        <v>174</v>
      </c>
      <c r="B189" s="10">
        <f>VLOOKUP(przech_odp_zainteresowanie_esport[[#This Row],[Zainteresowanie e-sport]],zainteresowanie_esport!A:C,2)</f>
        <v>4</v>
      </c>
      <c r="C189">
        <v>155</v>
      </c>
      <c r="D189">
        <v>188</v>
      </c>
    </row>
    <row r="190" spans="1:4" x14ac:dyDescent="0.2">
      <c r="A190" s="10" t="s">
        <v>175</v>
      </c>
      <c r="B190" s="10">
        <f>VLOOKUP(przech_odp_zainteresowanie_esport[[#This Row],[Zainteresowanie e-sport]],zainteresowanie_esport!A:C,2)</f>
        <v>5</v>
      </c>
      <c r="C190">
        <v>156</v>
      </c>
      <c r="D190">
        <v>189</v>
      </c>
    </row>
    <row r="191" spans="1:4" x14ac:dyDescent="0.2">
      <c r="A191" s="10" t="s">
        <v>174</v>
      </c>
      <c r="B191" s="10">
        <f>VLOOKUP(przech_odp_zainteresowanie_esport[[#This Row],[Zainteresowanie e-sport]],zainteresowanie_esport!A:C,2)</f>
        <v>4</v>
      </c>
      <c r="C191">
        <v>156</v>
      </c>
      <c r="D191">
        <v>190</v>
      </c>
    </row>
    <row r="192" spans="1:4" x14ac:dyDescent="0.2">
      <c r="A192" s="10" t="s">
        <v>5</v>
      </c>
      <c r="B192" s="10">
        <f>VLOOKUP(przech_odp_zainteresowanie_esport[[#This Row],[Zainteresowanie e-sport]],zainteresowanie_esport!A:C,2)</f>
        <v>1</v>
      </c>
      <c r="C192">
        <v>157</v>
      </c>
      <c r="D192">
        <v>191</v>
      </c>
    </row>
    <row r="193" spans="1:4" x14ac:dyDescent="0.2">
      <c r="A193" s="10" t="s">
        <v>12</v>
      </c>
      <c r="B193" s="10">
        <f>VLOOKUP(przech_odp_zainteresowanie_esport[[#This Row],[Zainteresowanie e-sport]],zainteresowanie_esport!A:C,2)</f>
        <v>2</v>
      </c>
      <c r="C193">
        <v>158</v>
      </c>
      <c r="D193">
        <v>192</v>
      </c>
    </row>
    <row r="194" spans="1:4" x14ac:dyDescent="0.2">
      <c r="A194" s="10" t="s">
        <v>176</v>
      </c>
      <c r="B194" s="10">
        <f>VLOOKUP(przech_odp_zainteresowanie_esport[[#This Row],[Zainteresowanie e-sport]],zainteresowanie_esport!A:C,2)</f>
        <v>3</v>
      </c>
      <c r="C194">
        <v>159</v>
      </c>
      <c r="D194">
        <v>193</v>
      </c>
    </row>
    <row r="195" spans="1:4" x14ac:dyDescent="0.2">
      <c r="A195" s="10" t="s">
        <v>5</v>
      </c>
      <c r="B195" s="10">
        <f>VLOOKUP(przech_odp_zainteresowanie_esport[[#This Row],[Zainteresowanie e-sport]],zainteresowanie_esport!A:C,2)</f>
        <v>1</v>
      </c>
      <c r="C195">
        <v>160</v>
      </c>
      <c r="D195">
        <v>194</v>
      </c>
    </row>
    <row r="196" spans="1:4" x14ac:dyDescent="0.2">
      <c r="A196" s="10" t="s">
        <v>12</v>
      </c>
      <c r="B196" s="10">
        <f>VLOOKUP(przech_odp_zainteresowanie_esport[[#This Row],[Zainteresowanie e-sport]],zainteresowanie_esport!A:C,2)</f>
        <v>2</v>
      </c>
      <c r="C196">
        <v>160</v>
      </c>
      <c r="D196">
        <v>195</v>
      </c>
    </row>
    <row r="197" spans="1:4" x14ac:dyDescent="0.2">
      <c r="A197" s="10" t="s">
        <v>5</v>
      </c>
      <c r="B197" s="10">
        <f>VLOOKUP(przech_odp_zainteresowanie_esport[[#This Row],[Zainteresowanie e-sport]],zainteresowanie_esport!A:C,2)</f>
        <v>1</v>
      </c>
      <c r="C197">
        <v>161</v>
      </c>
      <c r="D197">
        <v>196</v>
      </c>
    </row>
    <row r="198" spans="1:4" x14ac:dyDescent="0.2">
      <c r="A198" s="10" t="s">
        <v>175</v>
      </c>
      <c r="B198" s="10">
        <f>VLOOKUP(przech_odp_zainteresowanie_esport[[#This Row],[Zainteresowanie e-sport]],zainteresowanie_esport!A:C,2)</f>
        <v>5</v>
      </c>
      <c r="C198">
        <v>162</v>
      </c>
      <c r="D198">
        <v>197</v>
      </c>
    </row>
    <row r="199" spans="1:4" x14ac:dyDescent="0.2">
      <c r="A199" s="10" t="s">
        <v>174</v>
      </c>
      <c r="B199" s="10">
        <f>VLOOKUP(przech_odp_zainteresowanie_esport[[#This Row],[Zainteresowanie e-sport]],zainteresowanie_esport!A:C,2)</f>
        <v>4</v>
      </c>
      <c r="C199">
        <v>162</v>
      </c>
      <c r="D199">
        <v>198</v>
      </c>
    </row>
    <row r="200" spans="1:4" x14ac:dyDescent="0.2">
      <c r="A200" s="10" t="s">
        <v>175</v>
      </c>
      <c r="B200" s="10">
        <f>VLOOKUP(przech_odp_zainteresowanie_esport[[#This Row],[Zainteresowanie e-sport]],zainteresowanie_esport!A:C,2)</f>
        <v>5</v>
      </c>
      <c r="C200">
        <v>163</v>
      </c>
      <c r="D200">
        <v>199</v>
      </c>
    </row>
    <row r="201" spans="1:4" x14ac:dyDescent="0.2">
      <c r="A201" s="10" t="s">
        <v>174</v>
      </c>
      <c r="B201" s="10">
        <f>VLOOKUP(przech_odp_zainteresowanie_esport[[#This Row],[Zainteresowanie e-sport]],zainteresowanie_esport!A:C,2)</f>
        <v>4</v>
      </c>
      <c r="C201">
        <v>163</v>
      </c>
      <c r="D201">
        <v>200</v>
      </c>
    </row>
    <row r="202" spans="1:4" x14ac:dyDescent="0.2">
      <c r="A202" s="10" t="s">
        <v>5</v>
      </c>
      <c r="B202" s="10">
        <f>VLOOKUP(przech_odp_zainteresowanie_esport[[#This Row],[Zainteresowanie e-sport]],zainteresowanie_esport!A:C,2)</f>
        <v>1</v>
      </c>
      <c r="C202">
        <v>164</v>
      </c>
      <c r="D202">
        <v>201</v>
      </c>
    </row>
    <row r="203" spans="1:4" x14ac:dyDescent="0.2">
      <c r="A203" s="10" t="s">
        <v>12</v>
      </c>
      <c r="B203" s="10">
        <f>VLOOKUP(przech_odp_zainteresowanie_esport[[#This Row],[Zainteresowanie e-sport]],zainteresowanie_esport!A:C,2)</f>
        <v>2</v>
      </c>
      <c r="C203">
        <v>164</v>
      </c>
      <c r="D203">
        <v>202</v>
      </c>
    </row>
    <row r="204" spans="1:4" x14ac:dyDescent="0.2">
      <c r="A204" s="10" t="s">
        <v>5</v>
      </c>
      <c r="B204" s="10">
        <f>VLOOKUP(przech_odp_zainteresowanie_esport[[#This Row],[Zainteresowanie e-sport]],zainteresowanie_esport!A:C,2)</f>
        <v>1</v>
      </c>
      <c r="C204">
        <v>165</v>
      </c>
      <c r="D204">
        <v>203</v>
      </c>
    </row>
    <row r="205" spans="1:4" x14ac:dyDescent="0.2">
      <c r="A205" s="10" t="s">
        <v>175</v>
      </c>
      <c r="B205" s="10">
        <f>VLOOKUP(przech_odp_zainteresowanie_esport[[#This Row],[Zainteresowanie e-sport]],zainteresowanie_esport!A:C,2)</f>
        <v>5</v>
      </c>
      <c r="C205">
        <v>166</v>
      </c>
      <c r="D205">
        <v>204</v>
      </c>
    </row>
    <row r="206" spans="1:4" x14ac:dyDescent="0.2">
      <c r="A206" s="10" t="s">
        <v>175</v>
      </c>
      <c r="B206" s="10">
        <f>VLOOKUP(przech_odp_zainteresowanie_esport[[#This Row],[Zainteresowanie e-sport]],zainteresowanie_esport!A:C,2)</f>
        <v>5</v>
      </c>
      <c r="C206">
        <v>167</v>
      </c>
      <c r="D206">
        <v>205</v>
      </c>
    </row>
    <row r="207" spans="1:4" x14ac:dyDescent="0.2">
      <c r="A207" s="10" t="s">
        <v>5</v>
      </c>
      <c r="B207" s="10">
        <f>VLOOKUP(przech_odp_zainteresowanie_esport[[#This Row],[Zainteresowanie e-sport]],zainteresowanie_esport!A:C,2)</f>
        <v>1</v>
      </c>
      <c r="C207">
        <v>168</v>
      </c>
      <c r="D207">
        <v>206</v>
      </c>
    </row>
    <row r="208" spans="1:4" x14ac:dyDescent="0.2">
      <c r="A208" s="10" t="s">
        <v>12</v>
      </c>
      <c r="B208" s="10">
        <f>VLOOKUP(przech_odp_zainteresowanie_esport[[#This Row],[Zainteresowanie e-sport]],zainteresowanie_esport!A:C,2)</f>
        <v>2</v>
      </c>
      <c r="C208">
        <v>168</v>
      </c>
      <c r="D208">
        <v>207</v>
      </c>
    </row>
    <row r="209" spans="1:4" x14ac:dyDescent="0.2">
      <c r="A209" s="10" t="s">
        <v>5</v>
      </c>
      <c r="B209" s="10">
        <f>VLOOKUP(przech_odp_zainteresowanie_esport[[#This Row],[Zainteresowanie e-sport]],zainteresowanie_esport!A:C,2)</f>
        <v>1</v>
      </c>
      <c r="C209">
        <v>169</v>
      </c>
      <c r="D209">
        <v>208</v>
      </c>
    </row>
    <row r="210" spans="1:4" x14ac:dyDescent="0.2">
      <c r="A210" s="10" t="s">
        <v>174</v>
      </c>
      <c r="B210" s="10">
        <f>VLOOKUP(przech_odp_zainteresowanie_esport[[#This Row],[Zainteresowanie e-sport]],zainteresowanie_esport!A:C,2)</f>
        <v>4</v>
      </c>
      <c r="C210">
        <v>170</v>
      </c>
      <c r="D210">
        <v>209</v>
      </c>
    </row>
    <row r="211" spans="1:4" x14ac:dyDescent="0.2">
      <c r="A211" s="10" t="s">
        <v>174</v>
      </c>
      <c r="B211" s="10">
        <f>VLOOKUP(przech_odp_zainteresowanie_esport[[#This Row],[Zainteresowanie e-sport]],zainteresowanie_esport!A:C,2)</f>
        <v>4</v>
      </c>
      <c r="C211">
        <v>171</v>
      </c>
      <c r="D211">
        <v>210</v>
      </c>
    </row>
    <row r="212" spans="1:4" x14ac:dyDescent="0.2">
      <c r="A212" s="10" t="s">
        <v>176</v>
      </c>
      <c r="B212" s="10">
        <f>VLOOKUP(przech_odp_zainteresowanie_esport[[#This Row],[Zainteresowanie e-sport]],zainteresowanie_esport!A:C,2)</f>
        <v>3</v>
      </c>
      <c r="C212">
        <v>172</v>
      </c>
      <c r="D212">
        <v>211</v>
      </c>
    </row>
    <row r="213" spans="1:4" x14ac:dyDescent="0.2">
      <c r="A213" s="10" t="s">
        <v>175</v>
      </c>
      <c r="B213" s="10">
        <f>VLOOKUP(przech_odp_zainteresowanie_esport[[#This Row],[Zainteresowanie e-sport]],zainteresowanie_esport!A:C,2)</f>
        <v>5</v>
      </c>
      <c r="C213">
        <v>173</v>
      </c>
      <c r="D213">
        <v>212</v>
      </c>
    </row>
    <row r="214" spans="1:4" x14ac:dyDescent="0.2">
      <c r="A214" s="10" t="s">
        <v>174</v>
      </c>
      <c r="B214" s="10">
        <f>VLOOKUP(przech_odp_zainteresowanie_esport[[#This Row],[Zainteresowanie e-sport]],zainteresowanie_esport!A:C,2)</f>
        <v>4</v>
      </c>
      <c r="C214">
        <v>173</v>
      </c>
      <c r="D214">
        <v>213</v>
      </c>
    </row>
    <row r="215" spans="1:4" x14ac:dyDescent="0.2">
      <c r="A215" s="10" t="s">
        <v>5</v>
      </c>
      <c r="B215" s="10">
        <f>VLOOKUP(przech_odp_zainteresowanie_esport[[#This Row],[Zainteresowanie e-sport]],zainteresowanie_esport!A:C,2)</f>
        <v>1</v>
      </c>
      <c r="C215">
        <v>174</v>
      </c>
      <c r="D215">
        <v>214</v>
      </c>
    </row>
    <row r="216" spans="1:4" x14ac:dyDescent="0.2">
      <c r="A216" s="10" t="s">
        <v>5</v>
      </c>
      <c r="B216" s="10">
        <f>VLOOKUP(przech_odp_zainteresowanie_esport[[#This Row],[Zainteresowanie e-sport]],zainteresowanie_esport!A:C,2)</f>
        <v>1</v>
      </c>
      <c r="C216">
        <v>175</v>
      </c>
      <c r="D216">
        <v>215</v>
      </c>
    </row>
    <row r="217" spans="1:4" x14ac:dyDescent="0.2">
      <c r="A217" s="10" t="s">
        <v>175</v>
      </c>
      <c r="B217" s="10">
        <f>VLOOKUP(przech_odp_zainteresowanie_esport[[#This Row],[Zainteresowanie e-sport]],zainteresowanie_esport!A:C,2)</f>
        <v>5</v>
      </c>
      <c r="C217">
        <v>176</v>
      </c>
      <c r="D217">
        <v>216</v>
      </c>
    </row>
    <row r="218" spans="1:4" x14ac:dyDescent="0.2">
      <c r="A218" s="10" t="s">
        <v>176</v>
      </c>
      <c r="B218" s="10">
        <f>VLOOKUP(przech_odp_zainteresowanie_esport[[#This Row],[Zainteresowanie e-sport]],zainteresowanie_esport!A:C,2)</f>
        <v>3</v>
      </c>
      <c r="C218">
        <v>176</v>
      </c>
      <c r="D218">
        <v>217</v>
      </c>
    </row>
    <row r="219" spans="1:4" x14ac:dyDescent="0.2">
      <c r="A219" s="10" t="s">
        <v>5</v>
      </c>
      <c r="B219" s="10">
        <f>VLOOKUP(przech_odp_zainteresowanie_esport[[#This Row],[Zainteresowanie e-sport]],zainteresowanie_esport!A:C,2)</f>
        <v>1</v>
      </c>
      <c r="C219">
        <v>177</v>
      </c>
      <c r="D219">
        <v>218</v>
      </c>
    </row>
    <row r="220" spans="1:4" x14ac:dyDescent="0.2">
      <c r="A220" s="10" t="s">
        <v>176</v>
      </c>
      <c r="B220" s="10">
        <f>VLOOKUP(przech_odp_zainteresowanie_esport[[#This Row],[Zainteresowanie e-sport]],zainteresowanie_esport!A:C,2)</f>
        <v>3</v>
      </c>
      <c r="C220">
        <v>178</v>
      </c>
      <c r="D220">
        <v>219</v>
      </c>
    </row>
    <row r="221" spans="1:4" x14ac:dyDescent="0.2">
      <c r="A221" s="10" t="s">
        <v>176</v>
      </c>
      <c r="B221" s="10">
        <f>VLOOKUP(przech_odp_zainteresowanie_esport[[#This Row],[Zainteresowanie e-sport]],zainteresowanie_esport!A:C,2)</f>
        <v>3</v>
      </c>
      <c r="C221">
        <v>179</v>
      </c>
      <c r="D221">
        <v>220</v>
      </c>
    </row>
    <row r="222" spans="1:4" x14ac:dyDescent="0.2">
      <c r="A222" s="10" t="s">
        <v>5</v>
      </c>
      <c r="B222" s="10">
        <f>VLOOKUP(przech_odp_zainteresowanie_esport[[#This Row],[Zainteresowanie e-sport]],zainteresowanie_esport!A:C,2)</f>
        <v>1</v>
      </c>
      <c r="C222">
        <v>180</v>
      </c>
      <c r="D222">
        <v>221</v>
      </c>
    </row>
    <row r="223" spans="1:4" x14ac:dyDescent="0.2">
      <c r="A223" s="10" t="s">
        <v>174</v>
      </c>
      <c r="B223" s="10">
        <f>VLOOKUP(przech_odp_zainteresowanie_esport[[#This Row],[Zainteresowanie e-sport]],zainteresowanie_esport!A:C,2)</f>
        <v>4</v>
      </c>
      <c r="C223">
        <v>181</v>
      </c>
      <c r="D223">
        <v>222</v>
      </c>
    </row>
    <row r="224" spans="1:4" x14ac:dyDescent="0.2">
      <c r="A224" s="10" t="s">
        <v>175</v>
      </c>
      <c r="B224" s="10">
        <f>VLOOKUP(przech_odp_zainteresowanie_esport[[#This Row],[Zainteresowanie e-sport]],zainteresowanie_esport!A:C,2)</f>
        <v>5</v>
      </c>
      <c r="C224">
        <v>182</v>
      </c>
      <c r="D224">
        <v>223</v>
      </c>
    </row>
    <row r="225" spans="1:4" x14ac:dyDescent="0.2">
      <c r="A225" s="10" t="s">
        <v>174</v>
      </c>
      <c r="B225" s="10">
        <f>VLOOKUP(przech_odp_zainteresowanie_esport[[#This Row],[Zainteresowanie e-sport]],zainteresowanie_esport!A:C,2)</f>
        <v>4</v>
      </c>
      <c r="C225">
        <v>182</v>
      </c>
      <c r="D225">
        <v>224</v>
      </c>
    </row>
    <row r="226" spans="1:4" x14ac:dyDescent="0.2">
      <c r="A226" s="10" t="s">
        <v>12</v>
      </c>
      <c r="B226" s="10">
        <f>VLOOKUP(przech_odp_zainteresowanie_esport[[#This Row],[Zainteresowanie e-sport]],zainteresowanie_esport!A:C,2)</f>
        <v>2</v>
      </c>
      <c r="C226">
        <v>183</v>
      </c>
      <c r="D226">
        <v>225</v>
      </c>
    </row>
    <row r="227" spans="1:4" x14ac:dyDescent="0.2">
      <c r="A227" s="10" t="s">
        <v>174</v>
      </c>
      <c r="B227" s="10">
        <f>VLOOKUP(przech_odp_zainteresowanie_esport[[#This Row],[Zainteresowanie e-sport]],zainteresowanie_esport!A:C,2)</f>
        <v>4</v>
      </c>
      <c r="C227">
        <v>184</v>
      </c>
      <c r="D227">
        <v>226</v>
      </c>
    </row>
    <row r="228" spans="1:4" x14ac:dyDescent="0.2">
      <c r="A228" s="10" t="s">
        <v>175</v>
      </c>
      <c r="B228" s="10">
        <f>VLOOKUP(przech_odp_zainteresowanie_esport[[#This Row],[Zainteresowanie e-sport]],zainteresowanie_esport!A:C,2)</f>
        <v>5</v>
      </c>
      <c r="C228">
        <v>185</v>
      </c>
      <c r="D228">
        <v>227</v>
      </c>
    </row>
    <row r="229" spans="1:4" x14ac:dyDescent="0.2">
      <c r="A229" s="10" t="s">
        <v>174</v>
      </c>
      <c r="B229" s="10">
        <f>VLOOKUP(przech_odp_zainteresowanie_esport[[#This Row],[Zainteresowanie e-sport]],zainteresowanie_esport!A:C,2)</f>
        <v>4</v>
      </c>
      <c r="C229">
        <v>185</v>
      </c>
      <c r="D229">
        <v>228</v>
      </c>
    </row>
    <row r="230" spans="1:4" x14ac:dyDescent="0.2">
      <c r="A230" s="10" t="s">
        <v>174</v>
      </c>
      <c r="B230" s="10">
        <f>VLOOKUP(przech_odp_zainteresowanie_esport[[#This Row],[Zainteresowanie e-sport]],zainteresowanie_esport!A:C,2)</f>
        <v>4</v>
      </c>
      <c r="C230">
        <v>186</v>
      </c>
      <c r="D230">
        <v>229</v>
      </c>
    </row>
    <row r="231" spans="1:4" x14ac:dyDescent="0.2">
      <c r="A231" s="10" t="s">
        <v>175</v>
      </c>
      <c r="B231" s="10">
        <f>VLOOKUP(przech_odp_zainteresowanie_esport[[#This Row],[Zainteresowanie e-sport]],zainteresowanie_esport!A:C,2)</f>
        <v>5</v>
      </c>
      <c r="C231">
        <v>187</v>
      </c>
      <c r="D231">
        <v>230</v>
      </c>
    </row>
    <row r="232" spans="1:4" x14ac:dyDescent="0.2">
      <c r="A232" s="10" t="s">
        <v>174</v>
      </c>
      <c r="B232" s="10">
        <f>VLOOKUP(przech_odp_zainteresowanie_esport[[#This Row],[Zainteresowanie e-sport]],zainteresowanie_esport!A:C,2)</f>
        <v>4</v>
      </c>
      <c r="C232">
        <v>188</v>
      </c>
      <c r="D232">
        <v>231</v>
      </c>
    </row>
    <row r="233" spans="1:4" x14ac:dyDescent="0.2">
      <c r="A233" s="10" t="s">
        <v>175</v>
      </c>
      <c r="B233" s="10">
        <f>VLOOKUP(przech_odp_zainteresowanie_esport[[#This Row],[Zainteresowanie e-sport]],zainteresowanie_esport!A:C,2)</f>
        <v>5</v>
      </c>
      <c r="C233">
        <v>189</v>
      </c>
      <c r="D233">
        <v>232</v>
      </c>
    </row>
    <row r="234" spans="1:4" x14ac:dyDescent="0.2">
      <c r="A234" s="10" t="s">
        <v>174</v>
      </c>
      <c r="B234" s="10">
        <f>VLOOKUP(przech_odp_zainteresowanie_esport[[#This Row],[Zainteresowanie e-sport]],zainteresowanie_esport!A:C,2)</f>
        <v>4</v>
      </c>
      <c r="C234">
        <v>189</v>
      </c>
      <c r="D234">
        <v>233</v>
      </c>
    </row>
    <row r="235" spans="1:4" x14ac:dyDescent="0.2">
      <c r="A235" s="10" t="s">
        <v>175</v>
      </c>
      <c r="B235" s="10">
        <f>VLOOKUP(przech_odp_zainteresowanie_esport[[#This Row],[Zainteresowanie e-sport]],zainteresowanie_esport!A:C,2)</f>
        <v>5</v>
      </c>
      <c r="C235">
        <v>190</v>
      </c>
      <c r="D235">
        <v>234</v>
      </c>
    </row>
    <row r="236" spans="1:4" x14ac:dyDescent="0.2">
      <c r="A236" s="10" t="s">
        <v>174</v>
      </c>
      <c r="B236" s="10">
        <f>VLOOKUP(przech_odp_zainteresowanie_esport[[#This Row],[Zainteresowanie e-sport]],zainteresowanie_esport!A:C,2)</f>
        <v>4</v>
      </c>
      <c r="C236">
        <v>190</v>
      </c>
      <c r="D236">
        <v>235</v>
      </c>
    </row>
    <row r="237" spans="1:4" x14ac:dyDescent="0.2">
      <c r="A237" s="10" t="s">
        <v>175</v>
      </c>
      <c r="B237" s="10">
        <f>VLOOKUP(przech_odp_zainteresowanie_esport[[#This Row],[Zainteresowanie e-sport]],zainteresowanie_esport!A:C,2)</f>
        <v>5</v>
      </c>
      <c r="C237">
        <v>191</v>
      </c>
      <c r="D237">
        <v>236</v>
      </c>
    </row>
    <row r="238" spans="1:4" x14ac:dyDescent="0.2">
      <c r="A238" s="10" t="s">
        <v>174</v>
      </c>
      <c r="B238" s="10">
        <f>VLOOKUP(przech_odp_zainteresowanie_esport[[#This Row],[Zainteresowanie e-sport]],zainteresowanie_esport!A:C,2)</f>
        <v>4</v>
      </c>
      <c r="C238">
        <v>191</v>
      </c>
      <c r="D238">
        <v>237</v>
      </c>
    </row>
    <row r="239" spans="1:4" x14ac:dyDescent="0.2">
      <c r="A239" s="10" t="s">
        <v>12</v>
      </c>
      <c r="B239" s="10">
        <f>VLOOKUP(przech_odp_zainteresowanie_esport[[#This Row],[Zainteresowanie e-sport]],zainteresowanie_esport!A:C,2)</f>
        <v>2</v>
      </c>
      <c r="C239">
        <v>192</v>
      </c>
      <c r="D239">
        <v>238</v>
      </c>
    </row>
    <row r="240" spans="1:4" x14ac:dyDescent="0.2">
      <c r="A240" s="10" t="s">
        <v>175</v>
      </c>
      <c r="B240" s="10">
        <f>VLOOKUP(przech_odp_zainteresowanie_esport[[#This Row],[Zainteresowanie e-sport]],zainteresowanie_esport!A:C,2)</f>
        <v>5</v>
      </c>
      <c r="C240">
        <v>193</v>
      </c>
      <c r="D240">
        <v>239</v>
      </c>
    </row>
    <row r="241" spans="1:4" x14ac:dyDescent="0.2">
      <c r="A241" s="10" t="s">
        <v>174</v>
      </c>
      <c r="B241" s="10">
        <f>VLOOKUP(przech_odp_zainteresowanie_esport[[#This Row],[Zainteresowanie e-sport]],zainteresowanie_esport!A:C,2)</f>
        <v>4</v>
      </c>
      <c r="C241">
        <v>193</v>
      </c>
      <c r="D241">
        <v>240</v>
      </c>
    </row>
    <row r="242" spans="1:4" x14ac:dyDescent="0.2">
      <c r="A242" s="10" t="s">
        <v>176</v>
      </c>
      <c r="B242" s="10">
        <f>VLOOKUP(przech_odp_zainteresowanie_esport[[#This Row],[Zainteresowanie e-sport]],zainteresowanie_esport!A:C,2)</f>
        <v>3</v>
      </c>
      <c r="C242">
        <v>194</v>
      </c>
      <c r="D242">
        <v>241</v>
      </c>
    </row>
    <row r="243" spans="1:4" x14ac:dyDescent="0.2">
      <c r="A243" s="10" t="s">
        <v>176</v>
      </c>
      <c r="B243" s="10">
        <f>VLOOKUP(przech_odp_zainteresowanie_esport[[#This Row],[Zainteresowanie e-sport]],zainteresowanie_esport!A:C,2)</f>
        <v>3</v>
      </c>
      <c r="C243">
        <v>195</v>
      </c>
      <c r="D243">
        <v>242</v>
      </c>
    </row>
    <row r="244" spans="1:4" x14ac:dyDescent="0.2">
      <c r="A244" s="10" t="s">
        <v>176</v>
      </c>
      <c r="B244" s="10">
        <f>VLOOKUP(przech_odp_zainteresowanie_esport[[#This Row],[Zainteresowanie e-sport]],zainteresowanie_esport!A:C,2)</f>
        <v>3</v>
      </c>
      <c r="C244">
        <v>196</v>
      </c>
      <c r="D244">
        <v>243</v>
      </c>
    </row>
    <row r="245" spans="1:4" x14ac:dyDescent="0.2">
      <c r="A245" s="10" t="s">
        <v>5</v>
      </c>
      <c r="B245" s="10">
        <f>VLOOKUP(przech_odp_zainteresowanie_esport[[#This Row],[Zainteresowanie e-sport]],zainteresowanie_esport!A:C,2)</f>
        <v>1</v>
      </c>
      <c r="C245">
        <v>197</v>
      </c>
      <c r="D245">
        <v>244</v>
      </c>
    </row>
    <row r="246" spans="1:4" x14ac:dyDescent="0.2">
      <c r="A246" s="10" t="s">
        <v>174</v>
      </c>
      <c r="B246" s="10">
        <f>VLOOKUP(przech_odp_zainteresowanie_esport[[#This Row],[Zainteresowanie e-sport]],zainteresowanie_esport!A:C,2)</f>
        <v>4</v>
      </c>
      <c r="C246">
        <v>198</v>
      </c>
      <c r="D246">
        <v>245</v>
      </c>
    </row>
    <row r="247" spans="1:4" x14ac:dyDescent="0.2">
      <c r="A247" s="10" t="s">
        <v>12</v>
      </c>
      <c r="B247" s="10">
        <f>VLOOKUP(przech_odp_zainteresowanie_esport[[#This Row],[Zainteresowanie e-sport]],zainteresowanie_esport!A:C,2)</f>
        <v>2</v>
      </c>
      <c r="C247">
        <v>199</v>
      </c>
      <c r="D247">
        <v>246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7CE2-1A4C-4EB7-B9CF-933431CEC4D2}">
  <sheetPr codeName="Arkusz2"/>
  <dimension ref="A1:D261"/>
  <sheetViews>
    <sheetView workbookViewId="0">
      <selection activeCell="B2" sqref="B2"/>
    </sheetView>
  </sheetViews>
  <sheetFormatPr defaultRowHeight="12.75" x14ac:dyDescent="0.2"/>
  <cols>
    <col min="1" max="1" width="29" bestFit="1" customWidth="1"/>
    <col min="2" max="2" width="19.85546875" bestFit="1" customWidth="1"/>
    <col min="3" max="3" width="9.42578125" bestFit="1" customWidth="1"/>
    <col min="4" max="4" width="31.7109375" bestFit="1" customWidth="1"/>
    <col min="5" max="5" width="32" bestFit="1" customWidth="1"/>
  </cols>
  <sheetData>
    <row r="1" spans="1:4" x14ac:dyDescent="0.2">
      <c r="A1" t="s">
        <v>89</v>
      </c>
      <c r="B1" s="11" t="s">
        <v>216</v>
      </c>
      <c r="C1" t="s">
        <v>199</v>
      </c>
      <c r="D1" t="s">
        <v>217</v>
      </c>
    </row>
    <row r="2" spans="1:4" x14ac:dyDescent="0.2">
      <c r="A2" s="10" t="s">
        <v>30</v>
      </c>
      <c r="B2" s="10">
        <f>VLOOKUP(przech_odp_gry_turniejowe[[#This Row],[Gry turniej]],gry_turniejowe[],2)</f>
        <v>3</v>
      </c>
      <c r="C2">
        <v>1</v>
      </c>
      <c r="D2">
        <v>1</v>
      </c>
    </row>
    <row r="3" spans="1:4" x14ac:dyDescent="0.2">
      <c r="A3" s="10" t="s">
        <v>9</v>
      </c>
      <c r="B3" s="10">
        <f>VLOOKUP(przech_odp_gry_turniejowe[[#This Row],[Gry turniej]],gry_turniejowe[],2)</f>
        <v>15</v>
      </c>
      <c r="C3">
        <v>2</v>
      </c>
      <c r="D3">
        <v>2</v>
      </c>
    </row>
    <row r="4" spans="1:4" x14ac:dyDescent="0.2">
      <c r="A4" s="10" t="s">
        <v>9</v>
      </c>
      <c r="B4" s="10">
        <f>VLOOKUP(przech_odp_gry_turniejowe[[#This Row],[Gry turniej]],gry_turniejowe[],2)</f>
        <v>15</v>
      </c>
      <c r="C4">
        <v>3</v>
      </c>
      <c r="D4">
        <v>3</v>
      </c>
    </row>
    <row r="5" spans="1:4" x14ac:dyDescent="0.2">
      <c r="A5" s="10" t="s">
        <v>30</v>
      </c>
      <c r="B5" s="10">
        <f>VLOOKUP(przech_odp_gry_turniejowe[[#This Row],[Gry turniej]],gry_turniejowe[],2)</f>
        <v>3</v>
      </c>
      <c r="C5">
        <v>3</v>
      </c>
      <c r="D5">
        <v>4</v>
      </c>
    </row>
    <row r="6" spans="1:4" x14ac:dyDescent="0.2">
      <c r="A6" s="10" t="s">
        <v>7</v>
      </c>
      <c r="B6" s="10">
        <f>VLOOKUP(przech_odp_gry_turniejowe[[#This Row],[Gry turniej]],gry_turniejowe[],2)</f>
        <v>21</v>
      </c>
      <c r="C6">
        <v>4</v>
      </c>
      <c r="D6">
        <v>5</v>
      </c>
    </row>
    <row r="7" spans="1:4" x14ac:dyDescent="0.2">
      <c r="A7" s="10" t="s">
        <v>26</v>
      </c>
      <c r="B7" s="10">
        <f>VLOOKUP(przech_odp_gry_turniejowe[[#This Row],[Gry turniej]],gry_turniejowe[],2)</f>
        <v>14</v>
      </c>
      <c r="C7">
        <v>5</v>
      </c>
      <c r="D7">
        <v>6</v>
      </c>
    </row>
    <row r="8" spans="1:4" x14ac:dyDescent="0.2">
      <c r="A8" s="10" t="s">
        <v>9</v>
      </c>
      <c r="B8" s="10">
        <f>VLOOKUP(przech_odp_gry_turniejowe[[#This Row],[Gry turniej]],gry_turniejowe[],2)</f>
        <v>15</v>
      </c>
      <c r="C8">
        <v>5</v>
      </c>
      <c r="D8">
        <v>7</v>
      </c>
    </row>
    <row r="9" spans="1:4" x14ac:dyDescent="0.2">
      <c r="A9" s="10" t="s">
        <v>30</v>
      </c>
      <c r="B9" s="10">
        <f>VLOOKUP(przech_odp_gry_turniejowe[[#This Row],[Gry turniej]],gry_turniejowe[],2)</f>
        <v>3</v>
      </c>
      <c r="C9">
        <v>6</v>
      </c>
      <c r="D9">
        <v>8</v>
      </c>
    </row>
    <row r="10" spans="1:4" x14ac:dyDescent="0.2">
      <c r="A10" s="10" t="s">
        <v>14</v>
      </c>
      <c r="B10" s="10">
        <f>VLOOKUP(przech_odp_gry_turniejowe[[#This Row],[Gry turniej]],gry_turniejowe[],2)</f>
        <v>7</v>
      </c>
      <c r="C10">
        <v>6</v>
      </c>
      <c r="D10">
        <v>9</v>
      </c>
    </row>
    <row r="11" spans="1:4" x14ac:dyDescent="0.2">
      <c r="A11" s="10" t="s">
        <v>9</v>
      </c>
      <c r="B11" s="10">
        <f>VLOOKUP(przech_odp_gry_turniejowe[[#This Row],[Gry turniej]],gry_turniejowe[],2)</f>
        <v>15</v>
      </c>
      <c r="C11">
        <v>7</v>
      </c>
      <c r="D11">
        <v>10</v>
      </c>
    </row>
    <row r="12" spans="1:4" x14ac:dyDescent="0.2">
      <c r="A12" s="10" t="s">
        <v>91</v>
      </c>
      <c r="B12" s="10">
        <f>VLOOKUP(przech_odp_gry_turniejowe[[#This Row],[Gry turniej]],gry_turniejowe[],2)</f>
        <v>16</v>
      </c>
      <c r="C12">
        <v>7</v>
      </c>
      <c r="D12">
        <v>11</v>
      </c>
    </row>
    <row r="13" spans="1:4" x14ac:dyDescent="0.2">
      <c r="A13" s="10" t="s">
        <v>91</v>
      </c>
      <c r="B13" s="10">
        <f>VLOOKUP(przech_odp_gry_turniejowe[[#This Row],[Gry turniej]],gry_turniejowe[],2)</f>
        <v>16</v>
      </c>
      <c r="C13">
        <v>8</v>
      </c>
      <c r="D13">
        <v>12</v>
      </c>
    </row>
    <row r="14" spans="1:4" x14ac:dyDescent="0.2">
      <c r="A14" s="10" t="s">
        <v>9</v>
      </c>
      <c r="B14" s="10">
        <f>VLOOKUP(przech_odp_gry_turniejowe[[#This Row],[Gry turniej]],gry_turniejowe[],2)</f>
        <v>15</v>
      </c>
      <c r="C14">
        <v>9</v>
      </c>
      <c r="D14">
        <v>13</v>
      </c>
    </row>
    <row r="15" spans="1:4" x14ac:dyDescent="0.2">
      <c r="A15" s="10" t="s">
        <v>30</v>
      </c>
      <c r="B15" s="10">
        <f>VLOOKUP(przech_odp_gry_turniejowe[[#This Row],[Gry turniej]],gry_turniejowe[],2)</f>
        <v>3</v>
      </c>
      <c r="C15">
        <v>9</v>
      </c>
      <c r="D15">
        <v>14</v>
      </c>
    </row>
    <row r="16" spans="1:4" x14ac:dyDescent="0.2">
      <c r="A16" s="10" t="s">
        <v>33</v>
      </c>
      <c r="B16" s="10">
        <f>VLOOKUP(przech_odp_gry_turniejowe[[#This Row],[Gry turniej]],gry_turniejowe[],2)</f>
        <v>9</v>
      </c>
      <c r="C16">
        <v>10</v>
      </c>
      <c r="D16">
        <v>15</v>
      </c>
    </row>
    <row r="17" spans="1:4" x14ac:dyDescent="0.2">
      <c r="A17" s="10" t="s">
        <v>28</v>
      </c>
      <c r="B17" s="10">
        <f>VLOOKUP(przech_odp_gry_turniejowe[[#This Row],[Gry turniej]],gry_turniejowe[],2)</f>
        <v>22</v>
      </c>
      <c r="C17">
        <v>11</v>
      </c>
      <c r="D17">
        <v>16</v>
      </c>
    </row>
    <row r="18" spans="1:4" x14ac:dyDescent="0.2">
      <c r="A18" s="10" t="s">
        <v>26</v>
      </c>
      <c r="B18" s="10">
        <f>VLOOKUP(przech_odp_gry_turniejowe[[#This Row],[Gry turniej]],gry_turniejowe[],2)</f>
        <v>14</v>
      </c>
      <c r="C18">
        <v>11</v>
      </c>
      <c r="D18">
        <v>17</v>
      </c>
    </row>
    <row r="19" spans="1:4" x14ac:dyDescent="0.2">
      <c r="A19" s="10" t="s">
        <v>9</v>
      </c>
      <c r="B19" s="10">
        <f>VLOOKUP(przech_odp_gry_turniejowe[[#This Row],[Gry turniej]],gry_turniejowe[],2)</f>
        <v>15</v>
      </c>
      <c r="C19">
        <v>12</v>
      </c>
      <c r="D19">
        <v>18</v>
      </c>
    </row>
    <row r="20" spans="1:4" x14ac:dyDescent="0.2">
      <c r="A20" s="10" t="s">
        <v>30</v>
      </c>
      <c r="B20" s="10">
        <f>VLOOKUP(przech_odp_gry_turniejowe[[#This Row],[Gry turniej]],gry_turniejowe[],2)</f>
        <v>3</v>
      </c>
      <c r="C20">
        <v>12</v>
      </c>
      <c r="D20">
        <v>19</v>
      </c>
    </row>
    <row r="21" spans="1:4" x14ac:dyDescent="0.2">
      <c r="A21" s="10" t="s">
        <v>91</v>
      </c>
      <c r="B21" s="10">
        <f>VLOOKUP(przech_odp_gry_turniejowe[[#This Row],[Gry turniej]],gry_turniejowe[],2)</f>
        <v>16</v>
      </c>
      <c r="C21">
        <v>13</v>
      </c>
      <c r="D21">
        <v>20</v>
      </c>
    </row>
    <row r="22" spans="1:4" x14ac:dyDescent="0.2">
      <c r="A22" s="10" t="s">
        <v>188</v>
      </c>
      <c r="B22" s="10">
        <f>VLOOKUP(przech_odp_gry_turniejowe[[#This Row],[Gry turniej]],gry_turniejowe[],2)</f>
        <v>17</v>
      </c>
      <c r="C22">
        <v>13</v>
      </c>
      <c r="D22">
        <v>21</v>
      </c>
    </row>
    <row r="23" spans="1:4" x14ac:dyDescent="0.2">
      <c r="A23" s="10" t="s">
        <v>33</v>
      </c>
      <c r="B23" s="10">
        <f>VLOOKUP(przech_odp_gry_turniejowe[[#This Row],[Gry turniej]],gry_turniejowe[],2)</f>
        <v>9</v>
      </c>
      <c r="C23">
        <v>14</v>
      </c>
      <c r="D23">
        <v>22</v>
      </c>
    </row>
    <row r="24" spans="1:4" x14ac:dyDescent="0.2">
      <c r="A24" s="10" t="s">
        <v>7</v>
      </c>
      <c r="B24" s="10">
        <f>VLOOKUP(przech_odp_gry_turniejowe[[#This Row],[Gry turniej]],gry_turniejowe[],2)</f>
        <v>21</v>
      </c>
      <c r="C24">
        <v>15</v>
      </c>
      <c r="D24">
        <v>23</v>
      </c>
    </row>
    <row r="25" spans="1:4" x14ac:dyDescent="0.2">
      <c r="A25" s="10" t="s">
        <v>38</v>
      </c>
      <c r="B25" s="10">
        <f>VLOOKUP(przech_odp_gry_turniejowe[[#This Row],[Gry turniej]],gry_turniejowe[],2)</f>
        <v>24</v>
      </c>
      <c r="C25">
        <v>16</v>
      </c>
      <c r="D25">
        <v>24</v>
      </c>
    </row>
    <row r="26" spans="1:4" x14ac:dyDescent="0.2">
      <c r="A26" s="10" t="s">
        <v>7</v>
      </c>
      <c r="B26" s="10">
        <f>VLOOKUP(przech_odp_gry_turniejowe[[#This Row],[Gry turniej]],gry_turniejowe[],2)</f>
        <v>21</v>
      </c>
      <c r="C26">
        <v>17</v>
      </c>
      <c r="D26">
        <v>25</v>
      </c>
    </row>
    <row r="27" spans="1:4" x14ac:dyDescent="0.2">
      <c r="A27" s="10" t="s">
        <v>48</v>
      </c>
      <c r="B27" s="10">
        <f>VLOOKUP(przech_odp_gry_turniejowe[[#This Row],[Gry turniej]],gry_turniejowe[],2)</f>
        <v>4</v>
      </c>
      <c r="C27">
        <v>18</v>
      </c>
      <c r="D27">
        <v>26</v>
      </c>
    </row>
    <row r="28" spans="1:4" x14ac:dyDescent="0.2">
      <c r="A28" s="10" t="s">
        <v>7</v>
      </c>
      <c r="B28" s="10">
        <f>VLOOKUP(przech_odp_gry_turniejowe[[#This Row],[Gry turniej]],gry_turniejowe[],2)</f>
        <v>21</v>
      </c>
      <c r="C28">
        <v>19</v>
      </c>
      <c r="D28">
        <v>27</v>
      </c>
    </row>
    <row r="29" spans="1:4" x14ac:dyDescent="0.2">
      <c r="A29" s="10" t="s">
        <v>7</v>
      </c>
      <c r="B29" s="10">
        <f>VLOOKUP(przech_odp_gry_turniejowe[[#This Row],[Gry turniej]],gry_turniejowe[],2)</f>
        <v>21</v>
      </c>
      <c r="C29">
        <v>20</v>
      </c>
      <c r="D29">
        <v>28</v>
      </c>
    </row>
    <row r="30" spans="1:4" x14ac:dyDescent="0.2">
      <c r="A30" s="10" t="s">
        <v>9</v>
      </c>
      <c r="B30" s="10">
        <f>VLOOKUP(przech_odp_gry_turniejowe[[#This Row],[Gry turniej]],gry_turniejowe[],2)</f>
        <v>15</v>
      </c>
      <c r="C30">
        <v>21</v>
      </c>
      <c r="D30">
        <v>29</v>
      </c>
    </row>
    <row r="31" spans="1:4" x14ac:dyDescent="0.2">
      <c r="A31" s="10" t="s">
        <v>30</v>
      </c>
      <c r="B31" s="10">
        <f>VLOOKUP(przech_odp_gry_turniejowe[[#This Row],[Gry turniej]],gry_turniejowe[],2)</f>
        <v>3</v>
      </c>
      <c r="C31">
        <v>21</v>
      </c>
      <c r="D31">
        <v>30</v>
      </c>
    </row>
    <row r="32" spans="1:4" x14ac:dyDescent="0.2">
      <c r="A32" s="10" t="s">
        <v>9</v>
      </c>
      <c r="B32" s="10">
        <f>VLOOKUP(przech_odp_gry_turniejowe[[#This Row],[Gry turniej]],gry_turniejowe[],2)</f>
        <v>15</v>
      </c>
      <c r="C32">
        <v>22</v>
      </c>
      <c r="D32">
        <v>31</v>
      </c>
    </row>
    <row r="33" spans="1:4" x14ac:dyDescent="0.2">
      <c r="A33" s="10" t="s">
        <v>7</v>
      </c>
      <c r="B33" s="10">
        <f>VLOOKUP(przech_odp_gry_turniejowe[[#This Row],[Gry turniej]],gry_turniejowe[],2)</f>
        <v>21</v>
      </c>
      <c r="C33">
        <v>23</v>
      </c>
      <c r="D33">
        <v>32</v>
      </c>
    </row>
    <row r="34" spans="1:4" x14ac:dyDescent="0.2">
      <c r="A34" s="10" t="s">
        <v>9</v>
      </c>
      <c r="B34" s="10">
        <f>VLOOKUP(przech_odp_gry_turniejowe[[#This Row],[Gry turniej]],gry_turniejowe[],2)</f>
        <v>15</v>
      </c>
      <c r="C34">
        <v>24</v>
      </c>
      <c r="D34">
        <v>33</v>
      </c>
    </row>
    <row r="35" spans="1:4" x14ac:dyDescent="0.2">
      <c r="A35" s="10" t="s">
        <v>30</v>
      </c>
      <c r="B35" s="10">
        <f>VLOOKUP(przech_odp_gry_turniejowe[[#This Row],[Gry turniej]],gry_turniejowe[],2)</f>
        <v>3</v>
      </c>
      <c r="C35">
        <v>24</v>
      </c>
      <c r="D35">
        <v>34</v>
      </c>
    </row>
    <row r="36" spans="1:4" x14ac:dyDescent="0.2">
      <c r="A36" s="10" t="s">
        <v>30</v>
      </c>
      <c r="B36" s="10">
        <f>VLOOKUP(przech_odp_gry_turniejowe[[#This Row],[Gry turniej]],gry_turniejowe[],2)</f>
        <v>3</v>
      </c>
      <c r="C36">
        <v>25</v>
      </c>
      <c r="D36">
        <v>35</v>
      </c>
    </row>
    <row r="37" spans="1:4" x14ac:dyDescent="0.2">
      <c r="A37" s="10" t="s">
        <v>7</v>
      </c>
      <c r="B37" s="10">
        <f>VLOOKUP(przech_odp_gry_turniejowe[[#This Row],[Gry turniej]],gry_turniejowe[],2)</f>
        <v>21</v>
      </c>
      <c r="C37">
        <v>26</v>
      </c>
      <c r="D37">
        <v>36</v>
      </c>
    </row>
    <row r="38" spans="1:4" x14ac:dyDescent="0.2">
      <c r="A38" s="10" t="s">
        <v>9</v>
      </c>
      <c r="B38" s="10">
        <f>VLOOKUP(przech_odp_gry_turniejowe[[#This Row],[Gry turniej]],gry_turniejowe[],2)</f>
        <v>15</v>
      </c>
      <c r="C38">
        <v>27</v>
      </c>
      <c r="D38">
        <v>37</v>
      </c>
    </row>
    <row r="39" spans="1:4" x14ac:dyDescent="0.2">
      <c r="A39" s="10" t="s">
        <v>28</v>
      </c>
      <c r="B39" s="10">
        <f>VLOOKUP(przech_odp_gry_turniejowe[[#This Row],[Gry turniej]],gry_turniejowe[],2)</f>
        <v>22</v>
      </c>
      <c r="C39">
        <v>28</v>
      </c>
      <c r="D39">
        <v>38</v>
      </c>
    </row>
    <row r="40" spans="1:4" x14ac:dyDescent="0.2">
      <c r="A40" s="10" t="s">
        <v>26</v>
      </c>
      <c r="B40" s="10">
        <f>VLOOKUP(przech_odp_gry_turniejowe[[#This Row],[Gry turniej]],gry_turniejowe[],2)</f>
        <v>14</v>
      </c>
      <c r="C40">
        <v>28</v>
      </c>
      <c r="D40">
        <v>39</v>
      </c>
    </row>
    <row r="41" spans="1:4" x14ac:dyDescent="0.2">
      <c r="A41" s="10" t="s">
        <v>7</v>
      </c>
      <c r="B41" s="10">
        <f>VLOOKUP(przech_odp_gry_turniejowe[[#This Row],[Gry turniej]],gry_turniejowe[],2)</f>
        <v>21</v>
      </c>
      <c r="C41">
        <v>29</v>
      </c>
      <c r="D41">
        <v>40</v>
      </c>
    </row>
    <row r="42" spans="1:4" x14ac:dyDescent="0.2">
      <c r="A42" s="10" t="s">
        <v>30</v>
      </c>
      <c r="B42" s="10">
        <f>VLOOKUP(przech_odp_gry_turniejowe[[#This Row],[Gry turniej]],gry_turniejowe[],2)</f>
        <v>3</v>
      </c>
      <c r="C42">
        <v>30</v>
      </c>
      <c r="D42">
        <v>41</v>
      </c>
    </row>
    <row r="43" spans="1:4" x14ac:dyDescent="0.2">
      <c r="A43" s="10" t="s">
        <v>48</v>
      </c>
      <c r="B43" s="10">
        <f>VLOOKUP(przech_odp_gry_turniejowe[[#This Row],[Gry turniej]],gry_turniejowe[],2)</f>
        <v>4</v>
      </c>
      <c r="C43">
        <v>31</v>
      </c>
      <c r="D43">
        <v>42</v>
      </c>
    </row>
    <row r="44" spans="1:4" x14ac:dyDescent="0.2">
      <c r="A44" s="10" t="s">
        <v>53</v>
      </c>
      <c r="B44" s="10">
        <f>VLOOKUP(przech_odp_gry_turniejowe[[#This Row],[Gry turniej]],gry_turniejowe[],2)</f>
        <v>18</v>
      </c>
      <c r="C44">
        <v>32</v>
      </c>
      <c r="D44">
        <v>43</v>
      </c>
    </row>
    <row r="45" spans="1:4" x14ac:dyDescent="0.2">
      <c r="A45" s="10" t="s">
        <v>189</v>
      </c>
      <c r="B45" s="10">
        <f>VLOOKUP(przech_odp_gry_turniejowe[[#This Row],[Gry turniej]],gry_turniejowe[],2)</f>
        <v>24</v>
      </c>
      <c r="C45">
        <v>32</v>
      </c>
      <c r="D45">
        <v>44</v>
      </c>
    </row>
    <row r="46" spans="1:4" x14ac:dyDescent="0.2">
      <c r="A46" s="10" t="s">
        <v>30</v>
      </c>
      <c r="B46" s="10">
        <f>VLOOKUP(przech_odp_gry_turniejowe[[#This Row],[Gry turniej]],gry_turniejowe[],2)</f>
        <v>3</v>
      </c>
      <c r="C46">
        <v>33</v>
      </c>
      <c r="D46">
        <v>45</v>
      </c>
    </row>
    <row r="47" spans="1:4" x14ac:dyDescent="0.2">
      <c r="A47" s="10" t="s">
        <v>28</v>
      </c>
      <c r="B47" s="10">
        <f>VLOOKUP(przech_odp_gry_turniejowe[[#This Row],[Gry turniej]],gry_turniejowe[],2)</f>
        <v>22</v>
      </c>
      <c r="C47">
        <v>34</v>
      </c>
      <c r="D47">
        <v>46</v>
      </c>
    </row>
    <row r="48" spans="1:4" x14ac:dyDescent="0.2">
      <c r="A48" s="10" t="s">
        <v>30</v>
      </c>
      <c r="B48" s="10">
        <f>VLOOKUP(przech_odp_gry_turniejowe[[#This Row],[Gry turniej]],gry_turniejowe[],2)</f>
        <v>3</v>
      </c>
      <c r="C48">
        <v>34</v>
      </c>
      <c r="D48">
        <v>47</v>
      </c>
    </row>
    <row r="49" spans="1:4" x14ac:dyDescent="0.2">
      <c r="A49" s="10" t="s">
        <v>9</v>
      </c>
      <c r="B49" s="10">
        <f>VLOOKUP(przech_odp_gry_turniejowe[[#This Row],[Gry turniej]],gry_turniejowe[],2)</f>
        <v>15</v>
      </c>
      <c r="C49">
        <v>35</v>
      </c>
      <c r="D49">
        <v>48</v>
      </c>
    </row>
    <row r="50" spans="1:4" x14ac:dyDescent="0.2">
      <c r="A50" s="10" t="s">
        <v>45</v>
      </c>
      <c r="B50" s="10">
        <f>VLOOKUP(przech_odp_gry_turniejowe[[#This Row],[Gry turniej]],gry_turniejowe[],2)</f>
        <v>12</v>
      </c>
      <c r="C50">
        <v>36</v>
      </c>
      <c r="D50">
        <v>49</v>
      </c>
    </row>
    <row r="51" spans="1:4" x14ac:dyDescent="0.2">
      <c r="A51" s="10" t="s">
        <v>26</v>
      </c>
      <c r="B51" s="10">
        <f>VLOOKUP(przech_odp_gry_turniejowe[[#This Row],[Gry turniej]],gry_turniejowe[],2)</f>
        <v>14</v>
      </c>
      <c r="C51">
        <v>37</v>
      </c>
      <c r="D51">
        <v>50</v>
      </c>
    </row>
    <row r="52" spans="1:4" x14ac:dyDescent="0.2">
      <c r="A52" s="10" t="s">
        <v>9</v>
      </c>
      <c r="B52" s="10">
        <f>VLOOKUP(przech_odp_gry_turniejowe[[#This Row],[Gry turniej]],gry_turniejowe[],2)</f>
        <v>15</v>
      </c>
      <c r="C52">
        <v>38</v>
      </c>
      <c r="D52">
        <v>51</v>
      </c>
    </row>
    <row r="53" spans="1:4" x14ac:dyDescent="0.2">
      <c r="A53" s="10" t="s">
        <v>9</v>
      </c>
      <c r="B53" s="10">
        <f>VLOOKUP(przech_odp_gry_turniejowe[[#This Row],[Gry turniej]],gry_turniejowe[],2)</f>
        <v>15</v>
      </c>
      <c r="C53">
        <v>39</v>
      </c>
      <c r="D53">
        <v>52</v>
      </c>
    </row>
    <row r="54" spans="1:4" x14ac:dyDescent="0.2">
      <c r="A54" s="10" t="s">
        <v>30</v>
      </c>
      <c r="B54" s="10">
        <f>VLOOKUP(przech_odp_gry_turniejowe[[#This Row],[Gry turniej]],gry_turniejowe[],2)</f>
        <v>3</v>
      </c>
      <c r="C54">
        <v>39</v>
      </c>
      <c r="D54">
        <v>53</v>
      </c>
    </row>
    <row r="55" spans="1:4" x14ac:dyDescent="0.2">
      <c r="A55" s="10" t="s">
        <v>30</v>
      </c>
      <c r="B55" s="10">
        <f>VLOOKUP(przech_odp_gry_turniejowe[[#This Row],[Gry turniej]],gry_turniejowe[],2)</f>
        <v>3</v>
      </c>
      <c r="C55">
        <v>40</v>
      </c>
      <c r="D55">
        <v>54</v>
      </c>
    </row>
    <row r="56" spans="1:4" x14ac:dyDescent="0.2">
      <c r="A56" s="10" t="s">
        <v>30</v>
      </c>
      <c r="B56" s="10">
        <f>VLOOKUP(przech_odp_gry_turniejowe[[#This Row],[Gry turniej]],gry_turniejowe[],2)</f>
        <v>3</v>
      </c>
      <c r="C56">
        <v>41</v>
      </c>
      <c r="D56">
        <v>55</v>
      </c>
    </row>
    <row r="57" spans="1:4" x14ac:dyDescent="0.2">
      <c r="A57" s="10" t="s">
        <v>33</v>
      </c>
      <c r="B57" s="10">
        <f>VLOOKUP(przech_odp_gry_turniejowe[[#This Row],[Gry turniej]],gry_turniejowe[],2)</f>
        <v>9</v>
      </c>
      <c r="C57">
        <v>42</v>
      </c>
      <c r="D57">
        <v>56</v>
      </c>
    </row>
    <row r="58" spans="1:4" x14ac:dyDescent="0.2">
      <c r="A58" s="10" t="s">
        <v>30</v>
      </c>
      <c r="B58" s="10">
        <f>VLOOKUP(przech_odp_gry_turniejowe[[#This Row],[Gry turniej]],gry_turniejowe[],2)</f>
        <v>3</v>
      </c>
      <c r="C58">
        <v>43</v>
      </c>
      <c r="D58">
        <v>57</v>
      </c>
    </row>
    <row r="59" spans="1:4" x14ac:dyDescent="0.2">
      <c r="A59" s="10" t="s">
        <v>7</v>
      </c>
      <c r="B59" s="10">
        <f>VLOOKUP(przech_odp_gry_turniejowe[[#This Row],[Gry turniej]],gry_turniejowe[],2)</f>
        <v>21</v>
      </c>
      <c r="C59">
        <v>44</v>
      </c>
      <c r="D59">
        <v>58</v>
      </c>
    </row>
    <row r="60" spans="1:4" x14ac:dyDescent="0.2">
      <c r="A60" s="10" t="s">
        <v>7</v>
      </c>
      <c r="B60" s="10">
        <f>VLOOKUP(przech_odp_gry_turniejowe[[#This Row],[Gry turniej]],gry_turniejowe[],2)</f>
        <v>21</v>
      </c>
      <c r="C60">
        <v>45</v>
      </c>
      <c r="D60">
        <v>59</v>
      </c>
    </row>
    <row r="61" spans="1:4" x14ac:dyDescent="0.2">
      <c r="A61" s="10" t="s">
        <v>52</v>
      </c>
      <c r="B61" s="10">
        <f>VLOOKUP(przech_odp_gry_turniejowe[[#This Row],[Gry turniej]],gry_turniejowe[],2)</f>
        <v>31</v>
      </c>
      <c r="C61">
        <v>46</v>
      </c>
      <c r="D61">
        <v>60</v>
      </c>
    </row>
    <row r="62" spans="1:4" x14ac:dyDescent="0.2">
      <c r="A62" s="10" t="s">
        <v>53</v>
      </c>
      <c r="B62" s="10">
        <f>VLOOKUP(przech_odp_gry_turniejowe[[#This Row],[Gry turniej]],gry_turniejowe[],2)</f>
        <v>18</v>
      </c>
      <c r="C62">
        <v>47</v>
      </c>
      <c r="D62">
        <v>61</v>
      </c>
    </row>
    <row r="63" spans="1:4" x14ac:dyDescent="0.2">
      <c r="A63" s="10" t="s">
        <v>7</v>
      </c>
      <c r="B63" s="10">
        <f>VLOOKUP(przech_odp_gry_turniejowe[[#This Row],[Gry turniej]],gry_turniejowe[],2)</f>
        <v>21</v>
      </c>
      <c r="C63">
        <v>48</v>
      </c>
      <c r="D63">
        <v>62</v>
      </c>
    </row>
    <row r="64" spans="1:4" x14ac:dyDescent="0.2">
      <c r="A64" s="10" t="s">
        <v>7</v>
      </c>
      <c r="B64" s="10">
        <f>VLOOKUP(przech_odp_gry_turniejowe[[#This Row],[Gry turniej]],gry_turniejowe[],2)</f>
        <v>21</v>
      </c>
      <c r="C64">
        <v>49</v>
      </c>
      <c r="D64">
        <v>63</v>
      </c>
    </row>
    <row r="65" spans="1:4" x14ac:dyDescent="0.2">
      <c r="A65" s="10" t="s">
        <v>38</v>
      </c>
      <c r="B65" s="10">
        <f>VLOOKUP(przech_odp_gry_turniejowe[[#This Row],[Gry turniej]],gry_turniejowe[],2)</f>
        <v>24</v>
      </c>
      <c r="C65">
        <v>50</v>
      </c>
      <c r="D65">
        <v>64</v>
      </c>
    </row>
    <row r="66" spans="1:4" x14ac:dyDescent="0.2">
      <c r="A66" s="10" t="s">
        <v>28</v>
      </c>
      <c r="B66" s="10">
        <f>VLOOKUP(przech_odp_gry_turniejowe[[#This Row],[Gry turniej]],gry_turniejowe[],2)</f>
        <v>22</v>
      </c>
      <c r="C66">
        <v>51</v>
      </c>
      <c r="D66">
        <v>65</v>
      </c>
    </row>
    <row r="67" spans="1:4" x14ac:dyDescent="0.2">
      <c r="A67" s="10" t="s">
        <v>9</v>
      </c>
      <c r="B67" s="10">
        <f>VLOOKUP(przech_odp_gry_turniejowe[[#This Row],[Gry turniej]],gry_turniejowe[],2)</f>
        <v>15</v>
      </c>
      <c r="C67">
        <v>51</v>
      </c>
      <c r="D67">
        <v>66</v>
      </c>
    </row>
    <row r="68" spans="1:4" x14ac:dyDescent="0.2">
      <c r="A68" s="10" t="s">
        <v>30</v>
      </c>
      <c r="B68" s="10">
        <f>VLOOKUP(przech_odp_gry_turniejowe[[#This Row],[Gry turniej]],gry_turniejowe[],2)</f>
        <v>3</v>
      </c>
      <c r="C68">
        <v>52</v>
      </c>
      <c r="D68">
        <v>67</v>
      </c>
    </row>
    <row r="69" spans="1:4" x14ac:dyDescent="0.2">
      <c r="A69" s="10" t="s">
        <v>33</v>
      </c>
      <c r="B69" s="10">
        <f>VLOOKUP(przech_odp_gry_turniejowe[[#This Row],[Gry turniej]],gry_turniejowe[],2)</f>
        <v>9</v>
      </c>
      <c r="C69">
        <v>53</v>
      </c>
      <c r="D69">
        <v>68</v>
      </c>
    </row>
    <row r="70" spans="1:4" x14ac:dyDescent="0.2">
      <c r="A70" s="10" t="s">
        <v>7</v>
      </c>
      <c r="B70" s="10">
        <f>VLOOKUP(przech_odp_gry_turniejowe[[#This Row],[Gry turniej]],gry_turniejowe[],2)</f>
        <v>21</v>
      </c>
      <c r="C70">
        <v>54</v>
      </c>
      <c r="D70">
        <v>69</v>
      </c>
    </row>
    <row r="71" spans="1:4" x14ac:dyDescent="0.2">
      <c r="A71" s="10" t="s">
        <v>9</v>
      </c>
      <c r="B71" s="10">
        <f>VLOOKUP(przech_odp_gry_turniejowe[[#This Row],[Gry turniej]],gry_turniejowe[],2)</f>
        <v>15</v>
      </c>
      <c r="C71">
        <v>55</v>
      </c>
      <c r="D71">
        <v>70</v>
      </c>
    </row>
    <row r="72" spans="1:4" x14ac:dyDescent="0.2">
      <c r="A72" s="10" t="s">
        <v>28</v>
      </c>
      <c r="B72" s="10">
        <f>VLOOKUP(przech_odp_gry_turniejowe[[#This Row],[Gry turniej]],gry_turniejowe[],2)</f>
        <v>22</v>
      </c>
      <c r="C72">
        <v>56</v>
      </c>
      <c r="D72">
        <v>71</v>
      </c>
    </row>
    <row r="73" spans="1:4" x14ac:dyDescent="0.2">
      <c r="A73" s="10" t="s">
        <v>9</v>
      </c>
      <c r="B73" s="10">
        <f>VLOOKUP(przech_odp_gry_turniejowe[[#This Row],[Gry turniej]],gry_turniejowe[],2)</f>
        <v>15</v>
      </c>
      <c r="C73">
        <v>57</v>
      </c>
      <c r="D73">
        <v>72</v>
      </c>
    </row>
    <row r="74" spans="1:4" x14ac:dyDescent="0.2">
      <c r="A74" s="10" t="s">
        <v>28</v>
      </c>
      <c r="B74" s="10">
        <f>VLOOKUP(przech_odp_gry_turniejowe[[#This Row],[Gry turniej]],gry_turniejowe[],2)</f>
        <v>22</v>
      </c>
      <c r="C74">
        <v>58</v>
      </c>
      <c r="D74">
        <v>73</v>
      </c>
    </row>
    <row r="75" spans="1:4" x14ac:dyDescent="0.2">
      <c r="A75" s="10" t="s">
        <v>26</v>
      </c>
      <c r="B75" s="10">
        <f>VLOOKUP(przech_odp_gry_turniejowe[[#This Row],[Gry turniej]],gry_turniejowe[],2)</f>
        <v>14</v>
      </c>
      <c r="C75">
        <v>58</v>
      </c>
      <c r="D75">
        <v>74</v>
      </c>
    </row>
    <row r="76" spans="1:4" x14ac:dyDescent="0.2">
      <c r="A76" s="10" t="s">
        <v>28</v>
      </c>
      <c r="B76" s="10">
        <f>VLOOKUP(przech_odp_gry_turniejowe[[#This Row],[Gry turniej]],gry_turniejowe[],2)</f>
        <v>22</v>
      </c>
      <c r="C76">
        <v>59</v>
      </c>
      <c r="D76">
        <v>75</v>
      </c>
    </row>
    <row r="77" spans="1:4" x14ac:dyDescent="0.2">
      <c r="A77" s="10" t="s">
        <v>30</v>
      </c>
      <c r="B77" s="10">
        <f>VLOOKUP(przech_odp_gry_turniejowe[[#This Row],[Gry turniej]],gry_turniejowe[],2)</f>
        <v>3</v>
      </c>
      <c r="C77">
        <v>59</v>
      </c>
      <c r="D77">
        <v>76</v>
      </c>
    </row>
    <row r="78" spans="1:4" x14ac:dyDescent="0.2">
      <c r="A78" s="10" t="s">
        <v>7</v>
      </c>
      <c r="B78" s="10">
        <f>VLOOKUP(przech_odp_gry_turniejowe[[#This Row],[Gry turniej]],gry_turniejowe[],2)</f>
        <v>21</v>
      </c>
      <c r="C78">
        <v>60</v>
      </c>
      <c r="D78">
        <v>77</v>
      </c>
    </row>
    <row r="79" spans="1:4" x14ac:dyDescent="0.2">
      <c r="A79" s="10" t="s">
        <v>7</v>
      </c>
      <c r="B79" s="10">
        <f>VLOOKUP(przech_odp_gry_turniejowe[[#This Row],[Gry turniej]],gry_turniejowe[],2)</f>
        <v>21</v>
      </c>
      <c r="C79">
        <v>61</v>
      </c>
      <c r="D79">
        <v>78</v>
      </c>
    </row>
    <row r="80" spans="1:4" x14ac:dyDescent="0.2">
      <c r="A80" s="10" t="s">
        <v>30</v>
      </c>
      <c r="B80" s="10">
        <f>VLOOKUP(przech_odp_gry_turniejowe[[#This Row],[Gry turniej]],gry_turniejowe[],2)</f>
        <v>3</v>
      </c>
      <c r="C80">
        <v>62</v>
      </c>
      <c r="D80">
        <v>79</v>
      </c>
    </row>
    <row r="81" spans="1:4" x14ac:dyDescent="0.2">
      <c r="A81" s="10" t="s">
        <v>7</v>
      </c>
      <c r="B81" s="10">
        <f>VLOOKUP(przech_odp_gry_turniejowe[[#This Row],[Gry turniej]],gry_turniejowe[],2)</f>
        <v>21</v>
      </c>
      <c r="C81">
        <v>63</v>
      </c>
      <c r="D81">
        <v>80</v>
      </c>
    </row>
    <row r="82" spans="1:4" x14ac:dyDescent="0.2">
      <c r="A82" s="10" t="s">
        <v>7</v>
      </c>
      <c r="B82" s="10">
        <f>VLOOKUP(przech_odp_gry_turniejowe[[#This Row],[Gry turniej]],gry_turniejowe[],2)</f>
        <v>21</v>
      </c>
      <c r="C82">
        <v>64</v>
      </c>
      <c r="D82">
        <v>81</v>
      </c>
    </row>
    <row r="83" spans="1:4" x14ac:dyDescent="0.2">
      <c r="A83" s="10" t="s">
        <v>94</v>
      </c>
      <c r="B83" s="10">
        <f>VLOOKUP(przech_odp_gry_turniejowe[[#This Row],[Gry turniej]],gry_turniejowe[],2)</f>
        <v>28</v>
      </c>
      <c r="C83">
        <v>65</v>
      </c>
      <c r="D83">
        <v>82</v>
      </c>
    </row>
    <row r="84" spans="1:4" x14ac:dyDescent="0.2">
      <c r="A84" s="10" t="s">
        <v>167</v>
      </c>
      <c r="B84" s="10">
        <f>VLOOKUP(przech_odp_gry_turniejowe[[#This Row],[Gry turniej]],gry_turniejowe[],2)</f>
        <v>29</v>
      </c>
      <c r="C84">
        <v>65</v>
      </c>
      <c r="D84">
        <v>83</v>
      </c>
    </row>
    <row r="85" spans="1:4" x14ac:dyDescent="0.2">
      <c r="A85" s="10" t="s">
        <v>9</v>
      </c>
      <c r="B85" s="10">
        <f>VLOOKUP(przech_odp_gry_turniejowe[[#This Row],[Gry turniej]],gry_turniejowe[],2)</f>
        <v>15</v>
      </c>
      <c r="C85">
        <v>66</v>
      </c>
      <c r="D85">
        <v>84</v>
      </c>
    </row>
    <row r="86" spans="1:4" x14ac:dyDescent="0.2">
      <c r="A86" s="10" t="s">
        <v>45</v>
      </c>
      <c r="B86" s="10">
        <f>VLOOKUP(przech_odp_gry_turniejowe[[#This Row],[Gry turniej]],gry_turniejowe[],2)</f>
        <v>12</v>
      </c>
      <c r="C86">
        <v>67</v>
      </c>
      <c r="D86">
        <v>85</v>
      </c>
    </row>
    <row r="87" spans="1:4" x14ac:dyDescent="0.2">
      <c r="A87" s="10" t="s">
        <v>7</v>
      </c>
      <c r="B87" s="10">
        <f>VLOOKUP(przech_odp_gry_turniejowe[[#This Row],[Gry turniej]],gry_turniejowe[],2)</f>
        <v>21</v>
      </c>
      <c r="C87">
        <v>68</v>
      </c>
      <c r="D87">
        <v>86</v>
      </c>
    </row>
    <row r="88" spans="1:4" x14ac:dyDescent="0.2">
      <c r="A88" s="10" t="s">
        <v>30</v>
      </c>
      <c r="B88" s="10">
        <f>VLOOKUP(przech_odp_gry_turniejowe[[#This Row],[Gry turniej]],gry_turniejowe[],2)</f>
        <v>3</v>
      </c>
      <c r="C88">
        <v>69</v>
      </c>
      <c r="D88">
        <v>87</v>
      </c>
    </row>
    <row r="89" spans="1:4" x14ac:dyDescent="0.2">
      <c r="A89" s="10" t="s">
        <v>7</v>
      </c>
      <c r="B89" s="10">
        <f>VLOOKUP(przech_odp_gry_turniejowe[[#This Row],[Gry turniej]],gry_turniejowe[],2)</f>
        <v>21</v>
      </c>
      <c r="C89">
        <v>70</v>
      </c>
      <c r="D89">
        <v>88</v>
      </c>
    </row>
    <row r="90" spans="1:4" x14ac:dyDescent="0.2">
      <c r="A90" s="10" t="s">
        <v>7</v>
      </c>
      <c r="B90" s="10">
        <f>VLOOKUP(przech_odp_gry_turniejowe[[#This Row],[Gry turniej]],gry_turniejowe[],2)</f>
        <v>21</v>
      </c>
      <c r="C90">
        <v>71</v>
      </c>
      <c r="D90">
        <v>89</v>
      </c>
    </row>
    <row r="91" spans="1:4" x14ac:dyDescent="0.2">
      <c r="A91" s="10" t="s">
        <v>28</v>
      </c>
      <c r="B91" s="10">
        <f>VLOOKUP(przech_odp_gry_turniejowe[[#This Row],[Gry turniej]],gry_turniejowe[],2)</f>
        <v>22</v>
      </c>
      <c r="C91">
        <v>72</v>
      </c>
      <c r="D91">
        <v>90</v>
      </c>
    </row>
    <row r="92" spans="1:4" x14ac:dyDescent="0.2">
      <c r="A92" s="10" t="s">
        <v>30</v>
      </c>
      <c r="B92" s="10">
        <f>VLOOKUP(przech_odp_gry_turniejowe[[#This Row],[Gry turniej]],gry_turniejowe[],2)</f>
        <v>3</v>
      </c>
      <c r="C92">
        <v>72</v>
      </c>
      <c r="D92">
        <v>91</v>
      </c>
    </row>
    <row r="93" spans="1:4" x14ac:dyDescent="0.2">
      <c r="A93" s="10" t="s">
        <v>7</v>
      </c>
      <c r="B93" s="10">
        <f>VLOOKUP(przech_odp_gry_turniejowe[[#This Row],[Gry turniej]],gry_turniejowe[],2)</f>
        <v>21</v>
      </c>
      <c r="C93">
        <v>73</v>
      </c>
      <c r="D93">
        <v>92</v>
      </c>
    </row>
    <row r="94" spans="1:4" x14ac:dyDescent="0.2">
      <c r="A94" s="10" t="s">
        <v>26</v>
      </c>
      <c r="B94" s="10">
        <f>VLOOKUP(przech_odp_gry_turniejowe[[#This Row],[Gry turniej]],gry_turniejowe[],2)</f>
        <v>14</v>
      </c>
      <c r="C94">
        <v>74</v>
      </c>
      <c r="D94">
        <v>93</v>
      </c>
    </row>
    <row r="95" spans="1:4" x14ac:dyDescent="0.2">
      <c r="A95" s="10" t="s">
        <v>45</v>
      </c>
      <c r="B95" s="10">
        <f>VLOOKUP(przech_odp_gry_turniejowe[[#This Row],[Gry turniej]],gry_turniejowe[],2)</f>
        <v>12</v>
      </c>
      <c r="C95">
        <v>74</v>
      </c>
      <c r="D95">
        <v>94</v>
      </c>
    </row>
    <row r="96" spans="1:4" x14ac:dyDescent="0.2">
      <c r="A96" s="10" t="s">
        <v>9</v>
      </c>
      <c r="B96" s="10">
        <f>VLOOKUP(przech_odp_gry_turniejowe[[#This Row],[Gry turniej]],gry_turniejowe[],2)</f>
        <v>15</v>
      </c>
      <c r="C96">
        <v>75</v>
      </c>
      <c r="D96">
        <v>95</v>
      </c>
    </row>
    <row r="97" spans="1:4" x14ac:dyDescent="0.2">
      <c r="A97" s="10" t="s">
        <v>30</v>
      </c>
      <c r="B97" s="10">
        <f>VLOOKUP(przech_odp_gry_turniejowe[[#This Row],[Gry turniej]],gry_turniejowe[],2)</f>
        <v>3</v>
      </c>
      <c r="C97">
        <v>75</v>
      </c>
      <c r="D97">
        <v>96</v>
      </c>
    </row>
    <row r="98" spans="1:4" x14ac:dyDescent="0.2">
      <c r="A98" s="10" t="s">
        <v>48</v>
      </c>
      <c r="B98" s="10">
        <f>VLOOKUP(przech_odp_gry_turniejowe[[#This Row],[Gry turniej]],gry_turniejowe[],2)</f>
        <v>4</v>
      </c>
      <c r="C98">
        <v>76</v>
      </c>
      <c r="D98">
        <v>97</v>
      </c>
    </row>
    <row r="99" spans="1:4" x14ac:dyDescent="0.2">
      <c r="A99" s="10" t="s">
        <v>9</v>
      </c>
      <c r="B99" s="10">
        <f>VLOOKUP(przech_odp_gry_turniejowe[[#This Row],[Gry turniej]],gry_turniejowe[],2)</f>
        <v>15</v>
      </c>
      <c r="C99">
        <v>77</v>
      </c>
      <c r="D99">
        <v>98</v>
      </c>
    </row>
    <row r="100" spans="1:4" x14ac:dyDescent="0.2">
      <c r="A100" s="10" t="s">
        <v>30</v>
      </c>
      <c r="B100" s="10">
        <f>VLOOKUP(przech_odp_gry_turniejowe[[#This Row],[Gry turniej]],gry_turniejowe[],2)</f>
        <v>3</v>
      </c>
      <c r="C100">
        <v>77</v>
      </c>
      <c r="D100">
        <v>99</v>
      </c>
    </row>
    <row r="101" spans="1:4" x14ac:dyDescent="0.2">
      <c r="A101" s="10" t="s">
        <v>9</v>
      </c>
      <c r="B101" s="10">
        <f>VLOOKUP(przech_odp_gry_turniejowe[[#This Row],[Gry turniej]],gry_turniejowe[],2)</f>
        <v>15</v>
      </c>
      <c r="C101">
        <v>78</v>
      </c>
      <c r="D101">
        <v>100</v>
      </c>
    </row>
    <row r="102" spans="1:4" x14ac:dyDescent="0.2">
      <c r="A102" s="10" t="s">
        <v>30</v>
      </c>
      <c r="B102" s="10">
        <f>VLOOKUP(przech_odp_gry_turniejowe[[#This Row],[Gry turniej]],gry_turniejowe[],2)</f>
        <v>3</v>
      </c>
      <c r="C102">
        <v>78</v>
      </c>
      <c r="D102">
        <v>101</v>
      </c>
    </row>
    <row r="103" spans="1:4" x14ac:dyDescent="0.2">
      <c r="A103" s="10" t="s">
        <v>26</v>
      </c>
      <c r="B103" s="10">
        <f>VLOOKUP(przech_odp_gry_turniejowe[[#This Row],[Gry turniej]],gry_turniejowe[],2)</f>
        <v>14</v>
      </c>
      <c r="C103">
        <v>79</v>
      </c>
      <c r="D103">
        <v>102</v>
      </c>
    </row>
    <row r="104" spans="1:4" x14ac:dyDescent="0.2">
      <c r="A104" s="10" t="s">
        <v>26</v>
      </c>
      <c r="B104" s="10">
        <f>VLOOKUP(przech_odp_gry_turniejowe[[#This Row],[Gry turniej]],gry_turniejowe[],2)</f>
        <v>14</v>
      </c>
      <c r="C104">
        <v>80</v>
      </c>
      <c r="D104">
        <v>103</v>
      </c>
    </row>
    <row r="105" spans="1:4" x14ac:dyDescent="0.2">
      <c r="A105" s="10" t="s">
        <v>9</v>
      </c>
      <c r="B105" s="10">
        <f>VLOOKUP(przech_odp_gry_turniejowe[[#This Row],[Gry turniej]],gry_turniejowe[],2)</f>
        <v>15</v>
      </c>
      <c r="C105">
        <v>80</v>
      </c>
      <c r="D105">
        <v>104</v>
      </c>
    </row>
    <row r="106" spans="1:4" x14ac:dyDescent="0.2">
      <c r="A106" s="10" t="s">
        <v>9</v>
      </c>
      <c r="B106" s="10">
        <f>VLOOKUP(przech_odp_gry_turniejowe[[#This Row],[Gry turniej]],gry_turniejowe[],2)</f>
        <v>15</v>
      </c>
      <c r="C106">
        <v>81</v>
      </c>
      <c r="D106">
        <v>105</v>
      </c>
    </row>
    <row r="107" spans="1:4" x14ac:dyDescent="0.2">
      <c r="A107" s="10" t="s">
        <v>111</v>
      </c>
      <c r="B107" s="10">
        <f>VLOOKUP(przech_odp_gry_turniejowe[[#This Row],[Gry turniej]],gry_turniejowe[],2)</f>
        <v>1</v>
      </c>
      <c r="C107">
        <v>81</v>
      </c>
      <c r="D107">
        <v>106</v>
      </c>
    </row>
    <row r="108" spans="1:4" x14ac:dyDescent="0.2">
      <c r="A108" s="10" t="s">
        <v>48</v>
      </c>
      <c r="B108" s="10">
        <f>VLOOKUP(przech_odp_gry_turniejowe[[#This Row],[Gry turniej]],gry_turniejowe[],2)</f>
        <v>4</v>
      </c>
      <c r="C108">
        <v>81</v>
      </c>
      <c r="D108">
        <v>107</v>
      </c>
    </row>
    <row r="109" spans="1:4" x14ac:dyDescent="0.2">
      <c r="A109" s="10" t="s">
        <v>184</v>
      </c>
      <c r="B109" s="10">
        <f>VLOOKUP(przech_odp_gry_turniejowe[[#This Row],[Gry turniej]],gry_turniejowe[],2)</f>
        <v>20</v>
      </c>
      <c r="C109">
        <v>81</v>
      </c>
      <c r="D109">
        <v>108</v>
      </c>
    </row>
    <row r="110" spans="1:4" x14ac:dyDescent="0.2">
      <c r="A110" s="10" t="s">
        <v>9</v>
      </c>
      <c r="B110" s="10">
        <f>VLOOKUP(przech_odp_gry_turniejowe[[#This Row],[Gry turniej]],gry_turniejowe[],2)</f>
        <v>15</v>
      </c>
      <c r="C110">
        <v>82</v>
      </c>
      <c r="D110">
        <v>109</v>
      </c>
    </row>
    <row r="111" spans="1:4" x14ac:dyDescent="0.2">
      <c r="A111" s="10" t="s">
        <v>30</v>
      </c>
      <c r="B111" s="10">
        <f>VLOOKUP(przech_odp_gry_turniejowe[[#This Row],[Gry turniej]],gry_turniejowe[],2)</f>
        <v>3</v>
      </c>
      <c r="C111">
        <v>82</v>
      </c>
      <c r="D111">
        <v>110</v>
      </c>
    </row>
    <row r="112" spans="1:4" x14ac:dyDescent="0.2">
      <c r="A112" s="10" t="s">
        <v>26</v>
      </c>
      <c r="B112" s="10">
        <f>VLOOKUP(przech_odp_gry_turniejowe[[#This Row],[Gry turniej]],gry_turniejowe[],2)</f>
        <v>14</v>
      </c>
      <c r="C112">
        <v>83</v>
      </c>
      <c r="D112">
        <v>111</v>
      </c>
    </row>
    <row r="113" spans="1:4" x14ac:dyDescent="0.2">
      <c r="A113" s="10" t="s">
        <v>45</v>
      </c>
      <c r="B113" s="10">
        <f>VLOOKUP(przech_odp_gry_turniejowe[[#This Row],[Gry turniej]],gry_turniejowe[],2)</f>
        <v>12</v>
      </c>
      <c r="C113">
        <v>83</v>
      </c>
      <c r="D113">
        <v>112</v>
      </c>
    </row>
    <row r="114" spans="1:4" x14ac:dyDescent="0.2">
      <c r="A114" s="10" t="s">
        <v>9</v>
      </c>
      <c r="B114" s="10">
        <f>VLOOKUP(przech_odp_gry_turniejowe[[#This Row],[Gry turniej]],gry_turniejowe[],2)</f>
        <v>15</v>
      </c>
      <c r="C114">
        <v>84</v>
      </c>
      <c r="D114">
        <v>113</v>
      </c>
    </row>
    <row r="115" spans="1:4" x14ac:dyDescent="0.2">
      <c r="A115" s="10" t="s">
        <v>7</v>
      </c>
      <c r="B115" s="10">
        <f>VLOOKUP(przech_odp_gry_turniejowe[[#This Row],[Gry turniej]],gry_turniejowe[],2)</f>
        <v>21</v>
      </c>
      <c r="C115">
        <v>85</v>
      </c>
      <c r="D115">
        <v>114</v>
      </c>
    </row>
    <row r="116" spans="1:4" x14ac:dyDescent="0.2">
      <c r="A116" s="10" t="s">
        <v>30</v>
      </c>
      <c r="B116" s="10">
        <f>VLOOKUP(przech_odp_gry_turniejowe[[#This Row],[Gry turniej]],gry_turniejowe[],2)</f>
        <v>3</v>
      </c>
      <c r="C116">
        <v>86</v>
      </c>
      <c r="D116">
        <v>115</v>
      </c>
    </row>
    <row r="117" spans="1:4" x14ac:dyDescent="0.2">
      <c r="A117" s="10" t="s">
        <v>48</v>
      </c>
      <c r="B117" s="10">
        <f>VLOOKUP(przech_odp_gry_turniejowe[[#This Row],[Gry turniej]],gry_turniejowe[],2)</f>
        <v>4</v>
      </c>
      <c r="C117">
        <v>87</v>
      </c>
      <c r="D117">
        <v>116</v>
      </c>
    </row>
    <row r="118" spans="1:4" x14ac:dyDescent="0.2">
      <c r="A118" s="10" t="s">
        <v>7</v>
      </c>
      <c r="B118" s="10">
        <f>VLOOKUP(przech_odp_gry_turniejowe[[#This Row],[Gry turniej]],gry_turniejowe[],2)</f>
        <v>21</v>
      </c>
      <c r="C118">
        <v>88</v>
      </c>
      <c r="D118">
        <v>117</v>
      </c>
    </row>
    <row r="119" spans="1:4" x14ac:dyDescent="0.2">
      <c r="A119" s="10" t="s">
        <v>7</v>
      </c>
      <c r="B119" s="10">
        <f>VLOOKUP(przech_odp_gry_turniejowe[[#This Row],[Gry turniej]],gry_turniejowe[],2)</f>
        <v>21</v>
      </c>
      <c r="C119">
        <v>89</v>
      </c>
      <c r="D119">
        <v>118</v>
      </c>
    </row>
    <row r="120" spans="1:4" x14ac:dyDescent="0.2">
      <c r="A120" s="10" t="s">
        <v>9</v>
      </c>
      <c r="B120" s="10">
        <f>VLOOKUP(przech_odp_gry_turniejowe[[#This Row],[Gry turniej]],gry_turniejowe[],2)</f>
        <v>15</v>
      </c>
      <c r="C120">
        <v>90</v>
      </c>
      <c r="D120">
        <v>119</v>
      </c>
    </row>
    <row r="121" spans="1:4" x14ac:dyDescent="0.2">
      <c r="A121" s="10" t="s">
        <v>7</v>
      </c>
      <c r="B121" s="10">
        <f>VLOOKUP(przech_odp_gry_turniejowe[[#This Row],[Gry turniej]],gry_turniejowe[],2)</f>
        <v>21</v>
      </c>
      <c r="C121">
        <v>91</v>
      </c>
      <c r="D121">
        <v>120</v>
      </c>
    </row>
    <row r="122" spans="1:4" x14ac:dyDescent="0.2">
      <c r="A122" s="10" t="s">
        <v>30</v>
      </c>
      <c r="B122" s="10">
        <f>VLOOKUP(przech_odp_gry_turniejowe[[#This Row],[Gry turniej]],gry_turniejowe[],2)</f>
        <v>3</v>
      </c>
      <c r="C122">
        <v>92</v>
      </c>
      <c r="D122">
        <v>121</v>
      </c>
    </row>
    <row r="123" spans="1:4" x14ac:dyDescent="0.2">
      <c r="A123" s="10" t="s">
        <v>168</v>
      </c>
      <c r="B123" s="10">
        <f>VLOOKUP(przech_odp_gry_turniejowe[[#This Row],[Gry turniej]],gry_turniejowe[],2)</f>
        <v>2</v>
      </c>
      <c r="C123">
        <v>92</v>
      </c>
      <c r="D123">
        <v>122</v>
      </c>
    </row>
    <row r="124" spans="1:4" x14ac:dyDescent="0.2">
      <c r="A124" s="10" t="s">
        <v>30</v>
      </c>
      <c r="B124" s="10">
        <f>VLOOKUP(przech_odp_gry_turniejowe[[#This Row],[Gry turniej]],gry_turniejowe[],2)</f>
        <v>3</v>
      </c>
      <c r="C124">
        <v>93</v>
      </c>
      <c r="D124">
        <v>123</v>
      </c>
    </row>
    <row r="125" spans="1:4" x14ac:dyDescent="0.2">
      <c r="A125" s="10" t="s">
        <v>48</v>
      </c>
      <c r="B125" s="10">
        <f>VLOOKUP(przech_odp_gry_turniejowe[[#This Row],[Gry turniej]],gry_turniejowe[],2)</f>
        <v>4</v>
      </c>
      <c r="C125">
        <v>93</v>
      </c>
      <c r="D125">
        <v>124</v>
      </c>
    </row>
    <row r="126" spans="1:4" x14ac:dyDescent="0.2">
      <c r="A126" s="10" t="s">
        <v>7</v>
      </c>
      <c r="B126" s="10">
        <f>VLOOKUP(przech_odp_gry_turniejowe[[#This Row],[Gry turniej]],gry_turniejowe[],2)</f>
        <v>21</v>
      </c>
      <c r="C126">
        <v>94</v>
      </c>
      <c r="D126">
        <v>125</v>
      </c>
    </row>
    <row r="127" spans="1:4" x14ac:dyDescent="0.2">
      <c r="A127" s="10" t="s">
        <v>53</v>
      </c>
      <c r="B127" s="10">
        <f>VLOOKUP(przech_odp_gry_turniejowe[[#This Row],[Gry turniej]],gry_turniejowe[],2)</f>
        <v>18</v>
      </c>
      <c r="C127">
        <v>95</v>
      </c>
      <c r="D127">
        <v>126</v>
      </c>
    </row>
    <row r="128" spans="1:4" x14ac:dyDescent="0.2">
      <c r="A128" s="10" t="s">
        <v>7</v>
      </c>
      <c r="B128" s="10">
        <f>VLOOKUP(przech_odp_gry_turniejowe[[#This Row],[Gry turniej]],gry_turniejowe[],2)</f>
        <v>21</v>
      </c>
      <c r="C128">
        <v>96</v>
      </c>
      <c r="D128">
        <v>127</v>
      </c>
    </row>
    <row r="129" spans="1:4" x14ac:dyDescent="0.2">
      <c r="A129" s="10" t="s">
        <v>30</v>
      </c>
      <c r="B129" s="10">
        <f>VLOOKUP(przech_odp_gry_turniejowe[[#This Row],[Gry turniej]],gry_turniejowe[],2)</f>
        <v>3</v>
      </c>
      <c r="C129">
        <v>97</v>
      </c>
      <c r="D129">
        <v>128</v>
      </c>
    </row>
    <row r="130" spans="1:4" x14ac:dyDescent="0.2">
      <c r="A130" s="10" t="s">
        <v>9</v>
      </c>
      <c r="B130" s="10">
        <f>VLOOKUP(przech_odp_gry_turniejowe[[#This Row],[Gry turniej]],gry_turniejowe[],2)</f>
        <v>15</v>
      </c>
      <c r="C130">
        <v>98</v>
      </c>
      <c r="D130">
        <v>129</v>
      </c>
    </row>
    <row r="131" spans="1:4" x14ac:dyDescent="0.2">
      <c r="A131" s="10" t="s">
        <v>95</v>
      </c>
      <c r="B131" s="10">
        <f>VLOOKUP(przech_odp_gry_turniejowe[[#This Row],[Gry turniej]],gry_turniejowe[],2)</f>
        <v>27</v>
      </c>
      <c r="C131">
        <v>99</v>
      </c>
      <c r="D131">
        <v>130</v>
      </c>
    </row>
    <row r="132" spans="1:4" x14ac:dyDescent="0.2">
      <c r="A132" s="10" t="s">
        <v>7</v>
      </c>
      <c r="B132" s="10">
        <f>VLOOKUP(przech_odp_gry_turniejowe[[#This Row],[Gry turniej]],gry_turniejowe[],2)</f>
        <v>21</v>
      </c>
      <c r="C132">
        <v>100</v>
      </c>
      <c r="D132">
        <v>131</v>
      </c>
    </row>
    <row r="133" spans="1:4" x14ac:dyDescent="0.2">
      <c r="A133" s="10" t="s">
        <v>7</v>
      </c>
      <c r="B133" s="10">
        <f>VLOOKUP(przech_odp_gry_turniejowe[[#This Row],[Gry turniej]],gry_turniejowe[],2)</f>
        <v>21</v>
      </c>
      <c r="C133">
        <v>101</v>
      </c>
      <c r="D133">
        <v>132</v>
      </c>
    </row>
    <row r="134" spans="1:4" x14ac:dyDescent="0.2">
      <c r="A134" s="10" t="s">
        <v>7</v>
      </c>
      <c r="B134" s="10">
        <f>VLOOKUP(przech_odp_gry_turniejowe[[#This Row],[Gry turniej]],gry_turniejowe[],2)</f>
        <v>21</v>
      </c>
      <c r="C134">
        <v>102</v>
      </c>
      <c r="D134">
        <v>133</v>
      </c>
    </row>
    <row r="135" spans="1:4" x14ac:dyDescent="0.2">
      <c r="A135" s="10" t="s">
        <v>28</v>
      </c>
      <c r="B135" s="10">
        <f>VLOOKUP(przech_odp_gry_turniejowe[[#This Row],[Gry turniej]],gry_turniejowe[],2)</f>
        <v>22</v>
      </c>
      <c r="C135">
        <v>103</v>
      </c>
      <c r="D135">
        <v>134</v>
      </c>
    </row>
    <row r="136" spans="1:4" x14ac:dyDescent="0.2">
      <c r="A136" s="10" t="s">
        <v>26</v>
      </c>
      <c r="B136" s="10">
        <f>VLOOKUP(przech_odp_gry_turniejowe[[#This Row],[Gry turniej]],gry_turniejowe[],2)</f>
        <v>14</v>
      </c>
      <c r="C136">
        <v>103</v>
      </c>
      <c r="D136">
        <v>135</v>
      </c>
    </row>
    <row r="137" spans="1:4" x14ac:dyDescent="0.2">
      <c r="A137" s="10" t="s">
        <v>9</v>
      </c>
      <c r="B137" s="10">
        <f>VLOOKUP(przech_odp_gry_turniejowe[[#This Row],[Gry turniej]],gry_turniejowe[],2)</f>
        <v>15</v>
      </c>
      <c r="C137">
        <v>104</v>
      </c>
      <c r="D137">
        <v>136</v>
      </c>
    </row>
    <row r="138" spans="1:4" x14ac:dyDescent="0.2">
      <c r="A138" s="10" t="s">
        <v>30</v>
      </c>
      <c r="B138" s="10">
        <f>VLOOKUP(przech_odp_gry_turniejowe[[#This Row],[Gry turniej]],gry_turniejowe[],2)</f>
        <v>3</v>
      </c>
      <c r="C138">
        <v>104</v>
      </c>
      <c r="D138">
        <v>137</v>
      </c>
    </row>
    <row r="139" spans="1:4" x14ac:dyDescent="0.2">
      <c r="A139" s="10" t="s">
        <v>28</v>
      </c>
      <c r="B139" s="10">
        <f>VLOOKUP(przech_odp_gry_turniejowe[[#This Row],[Gry turniej]],gry_turniejowe[],2)</f>
        <v>22</v>
      </c>
      <c r="C139">
        <v>105</v>
      </c>
      <c r="D139">
        <v>138</v>
      </c>
    </row>
    <row r="140" spans="1:4" x14ac:dyDescent="0.2">
      <c r="A140" s="10" t="s">
        <v>7</v>
      </c>
      <c r="B140" s="10">
        <f>VLOOKUP(przech_odp_gry_turniejowe[[#This Row],[Gry turniej]],gry_turniejowe[],2)</f>
        <v>21</v>
      </c>
      <c r="C140">
        <v>106</v>
      </c>
      <c r="D140">
        <v>139</v>
      </c>
    </row>
    <row r="141" spans="1:4" x14ac:dyDescent="0.2">
      <c r="A141" s="10" t="s">
        <v>65</v>
      </c>
      <c r="B141" s="10">
        <f>VLOOKUP(przech_odp_gry_turniejowe[[#This Row],[Gry turniej]],gry_turniejowe[],2)</f>
        <v>8</v>
      </c>
      <c r="C141">
        <v>107</v>
      </c>
      <c r="D141">
        <v>140</v>
      </c>
    </row>
    <row r="142" spans="1:4" x14ac:dyDescent="0.2">
      <c r="A142" s="10" t="s">
        <v>26</v>
      </c>
      <c r="B142" s="10">
        <f>VLOOKUP(przech_odp_gry_turniejowe[[#This Row],[Gry turniej]],gry_turniejowe[],2)</f>
        <v>14</v>
      </c>
      <c r="C142">
        <v>108</v>
      </c>
      <c r="D142">
        <v>141</v>
      </c>
    </row>
    <row r="143" spans="1:4" x14ac:dyDescent="0.2">
      <c r="A143" s="10" t="s">
        <v>26</v>
      </c>
      <c r="B143" s="10">
        <f>VLOOKUP(przech_odp_gry_turniejowe[[#This Row],[Gry turniej]],gry_turniejowe[],2)</f>
        <v>14</v>
      </c>
      <c r="C143">
        <v>109</v>
      </c>
      <c r="D143">
        <v>142</v>
      </c>
    </row>
    <row r="144" spans="1:4" x14ac:dyDescent="0.2">
      <c r="A144" s="10" t="s">
        <v>9</v>
      </c>
      <c r="B144" s="10">
        <f>VLOOKUP(przech_odp_gry_turniejowe[[#This Row],[Gry turniej]],gry_turniejowe[],2)</f>
        <v>15</v>
      </c>
      <c r="C144">
        <v>109</v>
      </c>
      <c r="D144">
        <v>143</v>
      </c>
    </row>
    <row r="145" spans="1:4" x14ac:dyDescent="0.2">
      <c r="A145" s="10" t="s">
        <v>9</v>
      </c>
      <c r="B145" s="10">
        <f>VLOOKUP(przech_odp_gry_turniejowe[[#This Row],[Gry turniej]],gry_turniejowe[],2)</f>
        <v>15</v>
      </c>
      <c r="C145">
        <v>110</v>
      </c>
      <c r="D145">
        <v>144</v>
      </c>
    </row>
    <row r="146" spans="1:4" x14ac:dyDescent="0.2">
      <c r="A146" s="10" t="s">
        <v>28</v>
      </c>
      <c r="B146" s="10">
        <f>VLOOKUP(przech_odp_gry_turniejowe[[#This Row],[Gry turniej]],gry_turniejowe[],2)</f>
        <v>22</v>
      </c>
      <c r="C146">
        <v>111</v>
      </c>
      <c r="D146">
        <v>145</v>
      </c>
    </row>
    <row r="147" spans="1:4" x14ac:dyDescent="0.2">
      <c r="A147" s="10" t="s">
        <v>30</v>
      </c>
      <c r="B147" s="10">
        <f>VLOOKUP(przech_odp_gry_turniejowe[[#This Row],[Gry turniej]],gry_turniejowe[],2)</f>
        <v>3</v>
      </c>
      <c r="C147">
        <v>111</v>
      </c>
      <c r="D147">
        <v>146</v>
      </c>
    </row>
    <row r="148" spans="1:4" x14ac:dyDescent="0.2">
      <c r="A148" s="10" t="s">
        <v>26</v>
      </c>
      <c r="B148" s="10">
        <f>VLOOKUP(przech_odp_gry_turniejowe[[#This Row],[Gry turniej]],gry_turniejowe[],2)</f>
        <v>14</v>
      </c>
      <c r="C148">
        <v>112</v>
      </c>
      <c r="D148">
        <v>147</v>
      </c>
    </row>
    <row r="149" spans="1:4" x14ac:dyDescent="0.2">
      <c r="A149" s="10" t="s">
        <v>48</v>
      </c>
      <c r="B149" s="10">
        <f>VLOOKUP(przech_odp_gry_turniejowe[[#This Row],[Gry turniej]],gry_turniejowe[],2)</f>
        <v>4</v>
      </c>
      <c r="C149">
        <v>112</v>
      </c>
      <c r="D149">
        <v>148</v>
      </c>
    </row>
    <row r="150" spans="1:4" x14ac:dyDescent="0.2">
      <c r="A150" s="10" t="s">
        <v>26</v>
      </c>
      <c r="B150" s="10">
        <f>VLOOKUP(przech_odp_gry_turniejowe[[#This Row],[Gry turniej]],gry_turniejowe[],2)</f>
        <v>14</v>
      </c>
      <c r="C150">
        <v>113</v>
      </c>
      <c r="D150">
        <v>149</v>
      </c>
    </row>
    <row r="151" spans="1:4" x14ac:dyDescent="0.2">
      <c r="A151" s="10" t="s">
        <v>9</v>
      </c>
      <c r="B151" s="10">
        <f>VLOOKUP(przech_odp_gry_turniejowe[[#This Row],[Gry turniej]],gry_turniejowe[],2)</f>
        <v>15</v>
      </c>
      <c r="C151">
        <v>113</v>
      </c>
      <c r="D151">
        <v>150</v>
      </c>
    </row>
    <row r="152" spans="1:4" x14ac:dyDescent="0.2">
      <c r="A152" s="10" t="s">
        <v>30</v>
      </c>
      <c r="B152" s="10">
        <f>VLOOKUP(przech_odp_gry_turniejowe[[#This Row],[Gry turniej]],gry_turniejowe[],2)</f>
        <v>3</v>
      </c>
      <c r="C152">
        <v>114</v>
      </c>
      <c r="D152">
        <v>151</v>
      </c>
    </row>
    <row r="153" spans="1:4" x14ac:dyDescent="0.2">
      <c r="A153" s="10" t="s">
        <v>169</v>
      </c>
      <c r="B153" s="10">
        <f>VLOOKUP(przech_odp_gry_turniejowe[[#This Row],[Gry turniej]],gry_turniejowe[],2)</f>
        <v>5</v>
      </c>
      <c r="C153">
        <v>114</v>
      </c>
      <c r="D153">
        <v>152</v>
      </c>
    </row>
    <row r="154" spans="1:4" x14ac:dyDescent="0.2">
      <c r="A154" s="10" t="s">
        <v>187</v>
      </c>
      <c r="B154" s="10">
        <f>VLOOKUP(przech_odp_gry_turniejowe[[#This Row],[Gry turniej]],gry_turniejowe[],2)</f>
        <v>6</v>
      </c>
      <c r="C154">
        <v>114</v>
      </c>
      <c r="D154">
        <v>153</v>
      </c>
    </row>
    <row r="155" spans="1:4" x14ac:dyDescent="0.2">
      <c r="A155" s="10" t="s">
        <v>28</v>
      </c>
      <c r="B155" s="10">
        <f>VLOOKUP(przech_odp_gry_turniejowe[[#This Row],[Gry turniej]],gry_turniejowe[],2)</f>
        <v>22</v>
      </c>
      <c r="C155">
        <v>115</v>
      </c>
      <c r="D155">
        <v>154</v>
      </c>
    </row>
    <row r="156" spans="1:4" x14ac:dyDescent="0.2">
      <c r="A156" s="10" t="s">
        <v>30</v>
      </c>
      <c r="B156" s="10">
        <f>VLOOKUP(przech_odp_gry_turniejowe[[#This Row],[Gry turniej]],gry_turniejowe[],2)</f>
        <v>3</v>
      </c>
      <c r="C156">
        <v>115</v>
      </c>
      <c r="D156">
        <v>155</v>
      </c>
    </row>
    <row r="157" spans="1:4" x14ac:dyDescent="0.2">
      <c r="A157" s="10" t="s">
        <v>28</v>
      </c>
      <c r="B157" s="10">
        <f>VLOOKUP(przech_odp_gry_turniejowe[[#This Row],[Gry turniej]],gry_turniejowe[],2)</f>
        <v>22</v>
      </c>
      <c r="C157">
        <v>116</v>
      </c>
      <c r="D157">
        <v>156</v>
      </c>
    </row>
    <row r="158" spans="1:4" x14ac:dyDescent="0.2">
      <c r="A158" s="10" t="s">
        <v>26</v>
      </c>
      <c r="B158" s="10">
        <f>VLOOKUP(przech_odp_gry_turniejowe[[#This Row],[Gry turniej]],gry_turniejowe[],2)</f>
        <v>14</v>
      </c>
      <c r="C158">
        <v>116</v>
      </c>
      <c r="D158">
        <v>157</v>
      </c>
    </row>
    <row r="159" spans="1:4" x14ac:dyDescent="0.2">
      <c r="A159" s="10" t="s">
        <v>48</v>
      </c>
      <c r="B159" s="10">
        <f>VLOOKUP(przech_odp_gry_turniejowe[[#This Row],[Gry turniej]],gry_turniejowe[],2)</f>
        <v>4</v>
      </c>
      <c r="C159">
        <v>117</v>
      </c>
      <c r="D159">
        <v>158</v>
      </c>
    </row>
    <row r="160" spans="1:4" x14ac:dyDescent="0.2">
      <c r="A160" s="10" t="s">
        <v>170</v>
      </c>
      <c r="B160" s="10">
        <f>VLOOKUP(przech_odp_gry_turniejowe[[#This Row],[Gry turniej]],gry_turniejowe[],2)</f>
        <v>11</v>
      </c>
      <c r="C160">
        <v>117</v>
      </c>
      <c r="D160">
        <v>159</v>
      </c>
    </row>
    <row r="161" spans="1:4" x14ac:dyDescent="0.2">
      <c r="A161" s="10" t="s">
        <v>7</v>
      </c>
      <c r="B161" s="10">
        <f>VLOOKUP(przech_odp_gry_turniejowe[[#This Row],[Gry turniej]],gry_turniejowe[],2)</f>
        <v>21</v>
      </c>
      <c r="C161">
        <v>118</v>
      </c>
      <c r="D161">
        <v>160</v>
      </c>
    </row>
    <row r="162" spans="1:4" x14ac:dyDescent="0.2">
      <c r="A162" s="10" t="s">
        <v>28</v>
      </c>
      <c r="B162" s="10">
        <f>VLOOKUP(przech_odp_gry_turniejowe[[#This Row],[Gry turniej]],gry_turniejowe[],2)</f>
        <v>22</v>
      </c>
      <c r="C162">
        <v>119</v>
      </c>
      <c r="D162">
        <v>161</v>
      </c>
    </row>
    <row r="163" spans="1:4" x14ac:dyDescent="0.2">
      <c r="A163" s="10" t="s">
        <v>7</v>
      </c>
      <c r="B163" s="10">
        <f>VLOOKUP(przech_odp_gry_turniejowe[[#This Row],[Gry turniej]],gry_turniejowe[],2)</f>
        <v>21</v>
      </c>
      <c r="C163">
        <v>120</v>
      </c>
      <c r="D163">
        <v>162</v>
      </c>
    </row>
    <row r="164" spans="1:4" x14ac:dyDescent="0.2">
      <c r="A164" s="10" t="s">
        <v>48</v>
      </c>
      <c r="B164" s="10">
        <f>VLOOKUP(przech_odp_gry_turniejowe[[#This Row],[Gry turniej]],gry_turniejowe[],2)</f>
        <v>4</v>
      </c>
      <c r="C164">
        <v>121</v>
      </c>
      <c r="D164">
        <v>163</v>
      </c>
    </row>
    <row r="165" spans="1:4" x14ac:dyDescent="0.2">
      <c r="A165" s="10" t="s">
        <v>171</v>
      </c>
      <c r="B165" s="10">
        <f>VLOOKUP(przech_odp_gry_turniejowe[[#This Row],[Gry turniej]],gry_turniejowe[],2)</f>
        <v>10</v>
      </c>
      <c r="C165">
        <v>121</v>
      </c>
      <c r="D165">
        <v>164</v>
      </c>
    </row>
    <row r="166" spans="1:4" x14ac:dyDescent="0.2">
      <c r="A166" s="10" t="s">
        <v>7</v>
      </c>
      <c r="B166" s="10">
        <f>VLOOKUP(przech_odp_gry_turniejowe[[#This Row],[Gry turniej]],gry_turniejowe[],2)</f>
        <v>21</v>
      </c>
      <c r="C166">
        <v>122</v>
      </c>
      <c r="D166">
        <v>165</v>
      </c>
    </row>
    <row r="167" spans="1:4" x14ac:dyDescent="0.2">
      <c r="A167" s="10" t="s">
        <v>9</v>
      </c>
      <c r="B167" s="10">
        <f>VLOOKUP(przech_odp_gry_turniejowe[[#This Row],[Gry turniej]],gry_turniejowe[],2)</f>
        <v>15</v>
      </c>
      <c r="C167">
        <v>123</v>
      </c>
      <c r="D167">
        <v>166</v>
      </c>
    </row>
    <row r="168" spans="1:4" x14ac:dyDescent="0.2">
      <c r="A168" s="10" t="s">
        <v>81</v>
      </c>
      <c r="B168" s="10">
        <f>VLOOKUP(przech_odp_gry_turniejowe[[#This Row],[Gry turniej]],gry_turniejowe[],2)</f>
        <v>23</v>
      </c>
      <c r="C168">
        <v>124</v>
      </c>
      <c r="D168">
        <v>167</v>
      </c>
    </row>
    <row r="169" spans="1:4" x14ac:dyDescent="0.2">
      <c r="A169" s="10" t="s">
        <v>7</v>
      </c>
      <c r="B169" s="10">
        <f>VLOOKUP(przech_odp_gry_turniejowe[[#This Row],[Gry turniej]],gry_turniejowe[],2)</f>
        <v>21</v>
      </c>
      <c r="C169">
        <v>125</v>
      </c>
      <c r="D169">
        <v>168</v>
      </c>
    </row>
    <row r="170" spans="1:4" x14ac:dyDescent="0.2">
      <c r="A170" s="10" t="s">
        <v>111</v>
      </c>
      <c r="B170" s="10">
        <f>VLOOKUP(przech_odp_gry_turniejowe[[#This Row],[Gry turniej]],gry_turniejowe[],2)</f>
        <v>1</v>
      </c>
      <c r="C170">
        <v>126</v>
      </c>
      <c r="D170">
        <v>169</v>
      </c>
    </row>
    <row r="171" spans="1:4" x14ac:dyDescent="0.2">
      <c r="A171" s="10" t="s">
        <v>168</v>
      </c>
      <c r="B171" s="10">
        <f>VLOOKUP(przech_odp_gry_turniejowe[[#This Row],[Gry turniej]],gry_turniejowe[],2)</f>
        <v>2</v>
      </c>
      <c r="C171">
        <v>126</v>
      </c>
      <c r="D171">
        <v>170</v>
      </c>
    </row>
    <row r="172" spans="1:4" x14ac:dyDescent="0.2">
      <c r="A172" s="10" t="s">
        <v>9</v>
      </c>
      <c r="B172" s="10">
        <f>VLOOKUP(przech_odp_gry_turniejowe[[#This Row],[Gry turniej]],gry_turniejowe[],2)</f>
        <v>15</v>
      </c>
      <c r="C172">
        <v>127</v>
      </c>
      <c r="D172">
        <v>171</v>
      </c>
    </row>
    <row r="173" spans="1:4" x14ac:dyDescent="0.2">
      <c r="A173" s="10" t="s">
        <v>118</v>
      </c>
      <c r="B173" s="10">
        <f>VLOOKUP(przech_odp_gry_turniejowe[[#This Row],[Gry turniej]],gry_turniejowe[],2)</f>
        <v>13</v>
      </c>
      <c r="C173">
        <v>128</v>
      </c>
      <c r="D173">
        <v>172</v>
      </c>
    </row>
    <row r="174" spans="1:4" x14ac:dyDescent="0.2">
      <c r="A174" s="10" t="s">
        <v>173</v>
      </c>
      <c r="B174" s="10">
        <f>VLOOKUP(przech_odp_gry_turniejowe[[#This Row],[Gry turniej]],gry_turniejowe[],2)</f>
        <v>25</v>
      </c>
      <c r="C174">
        <v>129</v>
      </c>
      <c r="D174">
        <v>173</v>
      </c>
    </row>
    <row r="175" spans="1:4" x14ac:dyDescent="0.2">
      <c r="A175" s="10" t="s">
        <v>190</v>
      </c>
      <c r="B175" s="10">
        <f>VLOOKUP(przech_odp_gry_turniejowe[[#This Row],[Gry turniej]],gry_turniejowe[],2)</f>
        <v>26</v>
      </c>
      <c r="C175">
        <v>129</v>
      </c>
      <c r="D175">
        <v>174</v>
      </c>
    </row>
    <row r="176" spans="1:4" x14ac:dyDescent="0.2">
      <c r="A176" s="10" t="s">
        <v>9</v>
      </c>
      <c r="B176" s="10">
        <f>VLOOKUP(przech_odp_gry_turniejowe[[#This Row],[Gry turniej]],gry_turniejowe[],2)</f>
        <v>15</v>
      </c>
      <c r="C176">
        <v>130</v>
      </c>
      <c r="D176">
        <v>175</v>
      </c>
    </row>
    <row r="177" spans="1:4" x14ac:dyDescent="0.2">
      <c r="A177" s="10" t="s">
        <v>9</v>
      </c>
      <c r="B177" s="10">
        <f>VLOOKUP(przech_odp_gry_turniejowe[[#This Row],[Gry turniej]],gry_turniejowe[],2)</f>
        <v>15</v>
      </c>
      <c r="C177">
        <v>131</v>
      </c>
      <c r="D177">
        <v>176</v>
      </c>
    </row>
    <row r="178" spans="1:4" x14ac:dyDescent="0.2">
      <c r="A178" s="10" t="s">
        <v>30</v>
      </c>
      <c r="B178" s="10">
        <f>VLOOKUP(przech_odp_gry_turniejowe[[#This Row],[Gry turniej]],gry_turniejowe[],2)</f>
        <v>3</v>
      </c>
      <c r="C178">
        <v>131</v>
      </c>
      <c r="D178">
        <v>177</v>
      </c>
    </row>
    <row r="179" spans="1:4" x14ac:dyDescent="0.2">
      <c r="A179" s="10" t="s">
        <v>28</v>
      </c>
      <c r="B179" s="10">
        <f>VLOOKUP(przech_odp_gry_turniejowe[[#This Row],[Gry turniej]],gry_turniejowe[],2)</f>
        <v>22</v>
      </c>
      <c r="C179">
        <v>132</v>
      </c>
      <c r="D179">
        <v>178</v>
      </c>
    </row>
    <row r="180" spans="1:4" x14ac:dyDescent="0.2">
      <c r="A180" s="10" t="s">
        <v>26</v>
      </c>
      <c r="B180" s="10">
        <f>VLOOKUP(przech_odp_gry_turniejowe[[#This Row],[Gry turniej]],gry_turniejowe[],2)</f>
        <v>14</v>
      </c>
      <c r="C180">
        <v>133</v>
      </c>
      <c r="D180">
        <v>179</v>
      </c>
    </row>
    <row r="181" spans="1:4" x14ac:dyDescent="0.2">
      <c r="A181" s="10" t="s">
        <v>9</v>
      </c>
      <c r="B181" s="10">
        <f>VLOOKUP(przech_odp_gry_turniejowe[[#This Row],[Gry turniej]],gry_turniejowe[],2)</f>
        <v>15</v>
      </c>
      <c r="C181">
        <v>133</v>
      </c>
      <c r="D181">
        <v>180</v>
      </c>
    </row>
    <row r="182" spans="1:4" x14ac:dyDescent="0.2">
      <c r="A182" s="10" t="s">
        <v>7</v>
      </c>
      <c r="B182" s="10">
        <f>VLOOKUP(przech_odp_gry_turniejowe[[#This Row],[Gry turniej]],gry_turniejowe[],2)</f>
        <v>21</v>
      </c>
      <c r="C182">
        <v>134</v>
      </c>
      <c r="D182">
        <v>181</v>
      </c>
    </row>
    <row r="183" spans="1:4" x14ac:dyDescent="0.2">
      <c r="A183" s="10" t="s">
        <v>30</v>
      </c>
      <c r="B183" s="10">
        <f>VLOOKUP(przech_odp_gry_turniejowe[[#This Row],[Gry turniej]],gry_turniejowe[],2)</f>
        <v>3</v>
      </c>
      <c r="C183">
        <v>135</v>
      </c>
      <c r="D183">
        <v>182</v>
      </c>
    </row>
    <row r="184" spans="1:4" x14ac:dyDescent="0.2">
      <c r="A184" s="10" t="s">
        <v>7</v>
      </c>
      <c r="B184" s="10">
        <f>VLOOKUP(przech_odp_gry_turniejowe[[#This Row],[Gry turniej]],gry_turniejowe[],2)</f>
        <v>21</v>
      </c>
      <c r="C184">
        <v>136</v>
      </c>
      <c r="D184">
        <v>183</v>
      </c>
    </row>
    <row r="185" spans="1:4" x14ac:dyDescent="0.2">
      <c r="A185" s="10" t="s">
        <v>9</v>
      </c>
      <c r="B185" s="10">
        <f>VLOOKUP(przech_odp_gry_turniejowe[[#This Row],[Gry turniej]],gry_turniejowe[],2)</f>
        <v>15</v>
      </c>
      <c r="C185">
        <v>137</v>
      </c>
      <c r="D185">
        <v>184</v>
      </c>
    </row>
    <row r="186" spans="1:4" x14ac:dyDescent="0.2">
      <c r="A186" s="10" t="s">
        <v>30</v>
      </c>
      <c r="B186" s="10">
        <f>VLOOKUP(przech_odp_gry_turniejowe[[#This Row],[Gry turniej]],gry_turniejowe[],2)</f>
        <v>3</v>
      </c>
      <c r="C186">
        <v>137</v>
      </c>
      <c r="D186">
        <v>185</v>
      </c>
    </row>
    <row r="187" spans="1:4" x14ac:dyDescent="0.2">
      <c r="A187" s="10" t="s">
        <v>30</v>
      </c>
      <c r="B187" s="10">
        <f>VLOOKUP(przech_odp_gry_turniejowe[[#This Row],[Gry turniej]],gry_turniejowe[],2)</f>
        <v>3</v>
      </c>
      <c r="C187">
        <v>138</v>
      </c>
      <c r="D187">
        <v>186</v>
      </c>
    </row>
    <row r="188" spans="1:4" x14ac:dyDescent="0.2">
      <c r="A188" s="10" t="s">
        <v>26</v>
      </c>
      <c r="B188" s="10">
        <f>VLOOKUP(przech_odp_gry_turniejowe[[#This Row],[Gry turniej]],gry_turniejowe[],2)</f>
        <v>14</v>
      </c>
      <c r="C188">
        <v>139</v>
      </c>
      <c r="D188">
        <v>187</v>
      </c>
    </row>
    <row r="189" spans="1:4" x14ac:dyDescent="0.2">
      <c r="A189" s="10" t="s">
        <v>9</v>
      </c>
      <c r="B189" s="10">
        <f>VLOOKUP(przech_odp_gry_turniejowe[[#This Row],[Gry turniej]],gry_turniejowe[],2)</f>
        <v>15</v>
      </c>
      <c r="C189">
        <v>139</v>
      </c>
      <c r="D189">
        <v>188</v>
      </c>
    </row>
    <row r="190" spans="1:4" x14ac:dyDescent="0.2">
      <c r="A190" s="10" t="s">
        <v>48</v>
      </c>
      <c r="B190" s="10">
        <f>VLOOKUP(przech_odp_gry_turniejowe[[#This Row],[Gry turniej]],gry_turniejowe[],2)</f>
        <v>4</v>
      </c>
      <c r="C190">
        <v>140</v>
      </c>
      <c r="D190">
        <v>189</v>
      </c>
    </row>
    <row r="191" spans="1:4" x14ac:dyDescent="0.2">
      <c r="A191" s="10" t="s">
        <v>9</v>
      </c>
      <c r="B191" s="10">
        <f>VLOOKUP(przech_odp_gry_turniejowe[[#This Row],[Gry turniej]],gry_turniejowe[],2)</f>
        <v>15</v>
      </c>
      <c r="C191">
        <v>141</v>
      </c>
      <c r="D191">
        <v>190</v>
      </c>
    </row>
    <row r="192" spans="1:4" x14ac:dyDescent="0.2">
      <c r="A192" s="10" t="s">
        <v>30</v>
      </c>
      <c r="B192" s="10">
        <f>VLOOKUP(przech_odp_gry_turniejowe[[#This Row],[Gry turniej]],gry_turniejowe[],2)</f>
        <v>3</v>
      </c>
      <c r="C192">
        <v>142</v>
      </c>
      <c r="D192">
        <v>191</v>
      </c>
    </row>
    <row r="193" spans="1:4" x14ac:dyDescent="0.2">
      <c r="A193" s="10" t="s">
        <v>65</v>
      </c>
      <c r="B193" s="10">
        <f>VLOOKUP(przech_odp_gry_turniejowe[[#This Row],[Gry turniej]],gry_turniejowe[],2)</f>
        <v>8</v>
      </c>
      <c r="C193">
        <v>142</v>
      </c>
      <c r="D193">
        <v>192</v>
      </c>
    </row>
    <row r="194" spans="1:4" x14ac:dyDescent="0.2">
      <c r="A194" s="10" t="s">
        <v>9</v>
      </c>
      <c r="B194" s="10">
        <f>VLOOKUP(przech_odp_gry_turniejowe[[#This Row],[Gry turniej]],gry_turniejowe[],2)</f>
        <v>15</v>
      </c>
      <c r="C194">
        <v>143</v>
      </c>
      <c r="D194">
        <v>193</v>
      </c>
    </row>
    <row r="195" spans="1:4" x14ac:dyDescent="0.2">
      <c r="A195" s="10" t="s">
        <v>30</v>
      </c>
      <c r="B195" s="10">
        <f>VLOOKUP(przech_odp_gry_turniejowe[[#This Row],[Gry turniej]],gry_turniejowe[],2)</f>
        <v>3</v>
      </c>
      <c r="C195">
        <v>143</v>
      </c>
      <c r="D195">
        <v>194</v>
      </c>
    </row>
    <row r="196" spans="1:4" x14ac:dyDescent="0.2">
      <c r="A196" s="10" t="s">
        <v>65</v>
      </c>
      <c r="B196" s="10">
        <f>VLOOKUP(przech_odp_gry_turniejowe[[#This Row],[Gry turniej]],gry_turniejowe[],2)</f>
        <v>8</v>
      </c>
      <c r="C196">
        <v>143</v>
      </c>
      <c r="D196">
        <v>195</v>
      </c>
    </row>
    <row r="197" spans="1:4" x14ac:dyDescent="0.2">
      <c r="A197" s="10" t="s">
        <v>26</v>
      </c>
      <c r="B197" s="10">
        <f>VLOOKUP(przech_odp_gry_turniejowe[[#This Row],[Gry turniej]],gry_turniejowe[],2)</f>
        <v>14</v>
      </c>
      <c r="C197">
        <v>144</v>
      </c>
      <c r="D197">
        <v>196</v>
      </c>
    </row>
    <row r="198" spans="1:4" x14ac:dyDescent="0.2">
      <c r="A198" s="10" t="s">
        <v>7</v>
      </c>
      <c r="B198" s="10">
        <f>VLOOKUP(przech_odp_gry_turniejowe[[#This Row],[Gry turniej]],gry_turniejowe[],2)</f>
        <v>21</v>
      </c>
      <c r="C198">
        <v>145</v>
      </c>
      <c r="D198">
        <v>197</v>
      </c>
    </row>
    <row r="199" spans="1:4" x14ac:dyDescent="0.2">
      <c r="A199" s="10" t="s">
        <v>26</v>
      </c>
      <c r="B199" s="10">
        <f>VLOOKUP(przech_odp_gry_turniejowe[[#This Row],[Gry turniej]],gry_turniejowe[],2)</f>
        <v>14</v>
      </c>
      <c r="C199">
        <v>146</v>
      </c>
      <c r="D199">
        <v>198</v>
      </c>
    </row>
    <row r="200" spans="1:4" x14ac:dyDescent="0.2">
      <c r="A200" s="10" t="s">
        <v>9</v>
      </c>
      <c r="B200" s="10">
        <f>VLOOKUP(przech_odp_gry_turniejowe[[#This Row],[Gry turniej]],gry_turniejowe[],2)</f>
        <v>15</v>
      </c>
      <c r="C200">
        <v>146</v>
      </c>
      <c r="D200">
        <v>199</v>
      </c>
    </row>
    <row r="201" spans="1:4" x14ac:dyDescent="0.2">
      <c r="A201" s="10" t="s">
        <v>30</v>
      </c>
      <c r="B201" s="10">
        <f>VLOOKUP(przech_odp_gry_turniejowe[[#This Row],[Gry turniej]],gry_turniejowe[],2)</f>
        <v>3</v>
      </c>
      <c r="C201">
        <v>146</v>
      </c>
      <c r="D201">
        <v>200</v>
      </c>
    </row>
    <row r="202" spans="1:4" x14ac:dyDescent="0.2">
      <c r="A202" s="10" t="s">
        <v>7</v>
      </c>
      <c r="B202" s="10">
        <f>VLOOKUP(przech_odp_gry_turniejowe[[#This Row],[Gry turniej]],gry_turniejowe[],2)</f>
        <v>21</v>
      </c>
      <c r="C202">
        <v>147</v>
      </c>
      <c r="D202">
        <v>201</v>
      </c>
    </row>
    <row r="203" spans="1:4" x14ac:dyDescent="0.2">
      <c r="A203" s="10" t="s">
        <v>28</v>
      </c>
      <c r="B203" s="10">
        <f>VLOOKUP(przech_odp_gry_turniejowe[[#This Row],[Gry turniej]],gry_turniejowe[],2)</f>
        <v>22</v>
      </c>
      <c r="C203">
        <v>148</v>
      </c>
      <c r="D203">
        <v>202</v>
      </c>
    </row>
    <row r="204" spans="1:4" x14ac:dyDescent="0.2">
      <c r="A204" s="10" t="s">
        <v>111</v>
      </c>
      <c r="B204" s="10">
        <f>VLOOKUP(przech_odp_gry_turniejowe[[#This Row],[Gry turniej]],gry_turniejowe[],2)</f>
        <v>1</v>
      </c>
      <c r="C204">
        <v>149</v>
      </c>
      <c r="D204">
        <v>203</v>
      </c>
    </row>
    <row r="205" spans="1:4" x14ac:dyDescent="0.2">
      <c r="A205" s="10" t="s">
        <v>7</v>
      </c>
      <c r="B205" s="10">
        <f>VLOOKUP(przech_odp_gry_turniejowe[[#This Row],[Gry turniej]],gry_turniejowe[],2)</f>
        <v>21</v>
      </c>
      <c r="C205">
        <v>150</v>
      </c>
      <c r="D205">
        <v>204</v>
      </c>
    </row>
    <row r="206" spans="1:4" x14ac:dyDescent="0.2">
      <c r="A206" s="10" t="s">
        <v>26</v>
      </c>
      <c r="B206" s="10">
        <f>VLOOKUP(przech_odp_gry_turniejowe[[#This Row],[Gry turniej]],gry_turniejowe[],2)</f>
        <v>14</v>
      </c>
      <c r="C206">
        <v>151</v>
      </c>
      <c r="D206">
        <v>205</v>
      </c>
    </row>
    <row r="207" spans="1:4" x14ac:dyDescent="0.2">
      <c r="A207" s="10" t="s">
        <v>33</v>
      </c>
      <c r="B207" s="10">
        <f>VLOOKUP(przech_odp_gry_turniejowe[[#This Row],[Gry turniej]],gry_turniejowe[],2)</f>
        <v>9</v>
      </c>
      <c r="C207">
        <v>152</v>
      </c>
      <c r="D207">
        <v>206</v>
      </c>
    </row>
    <row r="208" spans="1:4" x14ac:dyDescent="0.2">
      <c r="A208" s="10" t="s">
        <v>28</v>
      </c>
      <c r="B208" s="10">
        <f>VLOOKUP(przech_odp_gry_turniejowe[[#This Row],[Gry turniej]],gry_turniejowe[],2)</f>
        <v>22</v>
      </c>
      <c r="C208">
        <v>153</v>
      </c>
      <c r="D208">
        <v>207</v>
      </c>
    </row>
    <row r="209" spans="1:4" x14ac:dyDescent="0.2">
      <c r="A209" s="10" t="s">
        <v>9</v>
      </c>
      <c r="B209" s="10">
        <f>VLOOKUP(przech_odp_gry_turniejowe[[#This Row],[Gry turniej]],gry_turniejowe[],2)</f>
        <v>15</v>
      </c>
      <c r="C209">
        <v>153</v>
      </c>
      <c r="D209">
        <v>208</v>
      </c>
    </row>
    <row r="210" spans="1:4" x14ac:dyDescent="0.2">
      <c r="A210" s="10" t="s">
        <v>7</v>
      </c>
      <c r="B210" s="10">
        <f>VLOOKUP(przech_odp_gry_turniejowe[[#This Row],[Gry turniej]],gry_turniejowe[],2)</f>
        <v>21</v>
      </c>
      <c r="C210">
        <v>154</v>
      </c>
      <c r="D210">
        <v>209</v>
      </c>
    </row>
    <row r="211" spans="1:4" x14ac:dyDescent="0.2">
      <c r="A211" s="10" t="s">
        <v>9</v>
      </c>
      <c r="B211" s="10">
        <f>VLOOKUP(przech_odp_gry_turniejowe[[#This Row],[Gry turniej]],gry_turniejowe[],2)</f>
        <v>15</v>
      </c>
      <c r="C211">
        <v>155</v>
      </c>
      <c r="D211">
        <v>210</v>
      </c>
    </row>
    <row r="212" spans="1:4" x14ac:dyDescent="0.2">
      <c r="A212" s="10" t="s">
        <v>26</v>
      </c>
      <c r="B212" s="10">
        <f>VLOOKUP(przech_odp_gry_turniejowe[[#This Row],[Gry turniej]],gry_turniejowe[],2)</f>
        <v>14</v>
      </c>
      <c r="C212">
        <v>156</v>
      </c>
      <c r="D212">
        <v>211</v>
      </c>
    </row>
    <row r="213" spans="1:4" x14ac:dyDescent="0.2">
      <c r="A213" s="10" t="s">
        <v>30</v>
      </c>
      <c r="B213" s="10">
        <f>VLOOKUP(przech_odp_gry_turniejowe[[#This Row],[Gry turniej]],gry_turniejowe[],2)</f>
        <v>3</v>
      </c>
      <c r="C213">
        <v>156</v>
      </c>
      <c r="D213">
        <v>212</v>
      </c>
    </row>
    <row r="214" spans="1:4" x14ac:dyDescent="0.2">
      <c r="A214" s="10" t="s">
        <v>7</v>
      </c>
      <c r="B214" s="10">
        <f>VLOOKUP(przech_odp_gry_turniejowe[[#This Row],[Gry turniej]],gry_turniejowe[],2)</f>
        <v>21</v>
      </c>
      <c r="C214">
        <v>157</v>
      </c>
      <c r="D214">
        <v>213</v>
      </c>
    </row>
    <row r="215" spans="1:4" x14ac:dyDescent="0.2">
      <c r="A215" s="10" t="s">
        <v>7</v>
      </c>
      <c r="B215" s="10">
        <f>VLOOKUP(przech_odp_gry_turniejowe[[#This Row],[Gry turniej]],gry_turniejowe[],2)</f>
        <v>21</v>
      </c>
      <c r="C215">
        <v>158</v>
      </c>
      <c r="D215">
        <v>214</v>
      </c>
    </row>
    <row r="216" spans="1:4" x14ac:dyDescent="0.2">
      <c r="A216" s="10" t="s">
        <v>9</v>
      </c>
      <c r="B216" s="10">
        <f>VLOOKUP(przech_odp_gry_turniejowe[[#This Row],[Gry turniej]],gry_turniejowe[],2)</f>
        <v>15</v>
      </c>
      <c r="C216">
        <v>159</v>
      </c>
      <c r="D216">
        <v>215</v>
      </c>
    </row>
    <row r="217" spans="1:4" x14ac:dyDescent="0.2">
      <c r="A217" s="10" t="s">
        <v>30</v>
      </c>
      <c r="B217" s="10">
        <f>VLOOKUP(przech_odp_gry_turniejowe[[#This Row],[Gry turniej]],gry_turniejowe[],2)</f>
        <v>3</v>
      </c>
      <c r="C217">
        <v>159</v>
      </c>
      <c r="D217">
        <v>216</v>
      </c>
    </row>
    <row r="218" spans="1:4" x14ac:dyDescent="0.2">
      <c r="A218" s="10" t="s">
        <v>7</v>
      </c>
      <c r="B218" s="10">
        <f>VLOOKUP(przech_odp_gry_turniejowe[[#This Row],[Gry turniej]],gry_turniejowe[],2)</f>
        <v>21</v>
      </c>
      <c r="C218">
        <v>160</v>
      </c>
      <c r="D218">
        <v>217</v>
      </c>
    </row>
    <row r="219" spans="1:4" x14ac:dyDescent="0.2">
      <c r="A219" s="10" t="s">
        <v>7</v>
      </c>
      <c r="B219" s="10">
        <f>VLOOKUP(przech_odp_gry_turniejowe[[#This Row],[Gry turniej]],gry_turniejowe[],2)</f>
        <v>21</v>
      </c>
      <c r="C219">
        <v>161</v>
      </c>
      <c r="D219">
        <v>218</v>
      </c>
    </row>
    <row r="220" spans="1:4" x14ac:dyDescent="0.2">
      <c r="A220" s="10" t="s">
        <v>9</v>
      </c>
      <c r="B220" s="10">
        <f>VLOOKUP(przech_odp_gry_turniejowe[[#This Row],[Gry turniej]],gry_turniejowe[],2)</f>
        <v>15</v>
      </c>
      <c r="C220">
        <v>162</v>
      </c>
      <c r="D220">
        <v>219</v>
      </c>
    </row>
    <row r="221" spans="1:4" x14ac:dyDescent="0.2">
      <c r="A221" s="10" t="s">
        <v>26</v>
      </c>
      <c r="B221" s="10">
        <f>VLOOKUP(przech_odp_gry_turniejowe[[#This Row],[Gry turniej]],gry_turniejowe[],2)</f>
        <v>14</v>
      </c>
      <c r="C221">
        <v>163</v>
      </c>
      <c r="D221">
        <v>220</v>
      </c>
    </row>
    <row r="222" spans="1:4" x14ac:dyDescent="0.2">
      <c r="A222" s="10" t="s">
        <v>7</v>
      </c>
      <c r="B222" s="10">
        <f>VLOOKUP(przech_odp_gry_turniejowe[[#This Row],[Gry turniej]],gry_turniejowe[],2)</f>
        <v>21</v>
      </c>
      <c r="C222">
        <v>164</v>
      </c>
      <c r="D222">
        <v>221</v>
      </c>
    </row>
    <row r="223" spans="1:4" x14ac:dyDescent="0.2">
      <c r="A223" s="10" t="s">
        <v>9</v>
      </c>
      <c r="B223" s="10">
        <f>VLOOKUP(przech_odp_gry_turniejowe[[#This Row],[Gry turniej]],gry_turniejowe[],2)</f>
        <v>15</v>
      </c>
      <c r="C223">
        <v>165</v>
      </c>
      <c r="D223">
        <v>222</v>
      </c>
    </row>
    <row r="224" spans="1:4" x14ac:dyDescent="0.2">
      <c r="A224" s="10" t="s">
        <v>30</v>
      </c>
      <c r="B224" s="10">
        <f>VLOOKUP(przech_odp_gry_turniejowe[[#This Row],[Gry turniej]],gry_turniejowe[],2)</f>
        <v>3</v>
      </c>
      <c r="C224">
        <v>166</v>
      </c>
      <c r="D224">
        <v>223</v>
      </c>
    </row>
    <row r="225" spans="1:4" x14ac:dyDescent="0.2">
      <c r="A225" s="10" t="s">
        <v>26</v>
      </c>
      <c r="B225" s="10">
        <f>VLOOKUP(przech_odp_gry_turniejowe[[#This Row],[Gry turniej]],gry_turniejowe[],2)</f>
        <v>14</v>
      </c>
      <c r="C225">
        <v>167</v>
      </c>
      <c r="D225">
        <v>224</v>
      </c>
    </row>
    <row r="226" spans="1:4" x14ac:dyDescent="0.2">
      <c r="A226" s="10" t="s">
        <v>30</v>
      </c>
      <c r="B226" s="10">
        <f>VLOOKUP(przech_odp_gry_turniejowe[[#This Row],[Gry turniej]],gry_turniejowe[],2)</f>
        <v>3</v>
      </c>
      <c r="C226">
        <v>167</v>
      </c>
      <c r="D226">
        <v>225</v>
      </c>
    </row>
    <row r="227" spans="1:4" x14ac:dyDescent="0.2">
      <c r="A227" s="10" t="s">
        <v>7</v>
      </c>
      <c r="B227" s="10">
        <f>VLOOKUP(przech_odp_gry_turniejowe[[#This Row],[Gry turniej]],gry_turniejowe[],2)</f>
        <v>21</v>
      </c>
      <c r="C227">
        <v>168</v>
      </c>
      <c r="D227">
        <v>226</v>
      </c>
    </row>
    <row r="228" spans="1:4" x14ac:dyDescent="0.2">
      <c r="A228" s="10" t="s">
        <v>26</v>
      </c>
      <c r="B228" s="10">
        <f>VLOOKUP(przech_odp_gry_turniejowe[[#This Row],[Gry turniej]],gry_turniejowe[],2)</f>
        <v>14</v>
      </c>
      <c r="C228">
        <v>169</v>
      </c>
      <c r="D228">
        <v>227</v>
      </c>
    </row>
    <row r="229" spans="1:4" x14ac:dyDescent="0.2">
      <c r="A229" s="10" t="s">
        <v>28</v>
      </c>
      <c r="B229" s="10">
        <f>VLOOKUP(przech_odp_gry_turniejowe[[#This Row],[Gry turniej]],gry_turniejowe[],2)</f>
        <v>22</v>
      </c>
      <c r="C229">
        <v>170</v>
      </c>
      <c r="D229">
        <v>228</v>
      </c>
    </row>
    <row r="230" spans="1:4" x14ac:dyDescent="0.2">
      <c r="A230" s="10" t="s">
        <v>26</v>
      </c>
      <c r="B230" s="10">
        <f>VLOOKUP(przech_odp_gry_turniejowe[[#This Row],[Gry turniej]],gry_turniejowe[],2)</f>
        <v>14</v>
      </c>
      <c r="C230">
        <v>170</v>
      </c>
      <c r="D230">
        <v>229</v>
      </c>
    </row>
    <row r="231" spans="1:4" x14ac:dyDescent="0.2">
      <c r="A231" s="10" t="s">
        <v>9</v>
      </c>
      <c r="B231" s="10">
        <f>VLOOKUP(przech_odp_gry_turniejowe[[#This Row],[Gry turniej]],gry_turniejowe[],2)</f>
        <v>15</v>
      </c>
      <c r="C231">
        <v>171</v>
      </c>
      <c r="D231">
        <v>230</v>
      </c>
    </row>
    <row r="232" spans="1:4" x14ac:dyDescent="0.2">
      <c r="A232" s="10" t="s">
        <v>7</v>
      </c>
      <c r="B232" s="10">
        <f>VLOOKUP(przech_odp_gry_turniejowe[[#This Row],[Gry turniej]],gry_turniejowe[],2)</f>
        <v>21</v>
      </c>
      <c r="C232">
        <v>172</v>
      </c>
      <c r="D232">
        <v>231</v>
      </c>
    </row>
    <row r="233" spans="1:4" x14ac:dyDescent="0.2">
      <c r="A233" s="10" t="s">
        <v>33</v>
      </c>
      <c r="B233" s="10">
        <f>VLOOKUP(przech_odp_gry_turniejowe[[#This Row],[Gry turniej]],gry_turniejowe[],2)</f>
        <v>9</v>
      </c>
      <c r="C233">
        <v>173</v>
      </c>
      <c r="D233">
        <v>232</v>
      </c>
    </row>
    <row r="234" spans="1:4" x14ac:dyDescent="0.2">
      <c r="A234" s="10" t="s">
        <v>7</v>
      </c>
      <c r="B234" s="10">
        <f>VLOOKUP(przech_odp_gry_turniejowe[[#This Row],[Gry turniej]],gry_turniejowe[],2)</f>
        <v>21</v>
      </c>
      <c r="C234">
        <v>174</v>
      </c>
      <c r="D234">
        <v>233</v>
      </c>
    </row>
    <row r="235" spans="1:4" x14ac:dyDescent="0.2">
      <c r="A235" s="10" t="s">
        <v>7</v>
      </c>
      <c r="B235" s="10">
        <f>VLOOKUP(przech_odp_gry_turniejowe[[#This Row],[Gry turniej]],gry_turniejowe[],2)</f>
        <v>21</v>
      </c>
      <c r="C235">
        <v>175</v>
      </c>
      <c r="D235">
        <v>234</v>
      </c>
    </row>
    <row r="236" spans="1:4" x14ac:dyDescent="0.2">
      <c r="A236" s="10" t="s">
        <v>45</v>
      </c>
      <c r="B236" s="10">
        <f>VLOOKUP(przech_odp_gry_turniejowe[[#This Row],[Gry turniej]],gry_turniejowe[],2)</f>
        <v>12</v>
      </c>
      <c r="C236">
        <v>176</v>
      </c>
      <c r="D236">
        <v>235</v>
      </c>
    </row>
    <row r="237" spans="1:4" x14ac:dyDescent="0.2">
      <c r="A237" s="10" t="s">
        <v>7</v>
      </c>
      <c r="B237" s="10">
        <f>VLOOKUP(przech_odp_gry_turniejowe[[#This Row],[Gry turniej]],gry_turniejowe[],2)</f>
        <v>21</v>
      </c>
      <c r="C237">
        <v>177</v>
      </c>
      <c r="D237">
        <v>236</v>
      </c>
    </row>
    <row r="238" spans="1:4" x14ac:dyDescent="0.2">
      <c r="A238" s="10" t="s">
        <v>75</v>
      </c>
      <c r="B238" s="10">
        <f>VLOOKUP(przech_odp_gry_turniejowe[[#This Row],[Gry turniej]],gry_turniejowe[],2)</f>
        <v>30</v>
      </c>
      <c r="C238">
        <v>178</v>
      </c>
      <c r="D238">
        <v>237</v>
      </c>
    </row>
    <row r="239" spans="1:4" x14ac:dyDescent="0.2">
      <c r="A239" s="10" t="s">
        <v>9</v>
      </c>
      <c r="B239" s="10">
        <f>VLOOKUP(przech_odp_gry_turniejowe[[#This Row],[Gry turniej]],gry_turniejowe[],2)</f>
        <v>15</v>
      </c>
      <c r="C239">
        <v>179</v>
      </c>
      <c r="D239">
        <v>238</v>
      </c>
    </row>
    <row r="240" spans="1:4" x14ac:dyDescent="0.2">
      <c r="A240" s="10" t="s">
        <v>7</v>
      </c>
      <c r="B240" s="10">
        <f>VLOOKUP(przech_odp_gry_turniejowe[[#This Row],[Gry turniej]],gry_turniejowe[],2)</f>
        <v>21</v>
      </c>
      <c r="C240">
        <v>180</v>
      </c>
      <c r="D240">
        <v>239</v>
      </c>
    </row>
    <row r="241" spans="1:4" x14ac:dyDescent="0.2">
      <c r="A241" s="10" t="s">
        <v>30</v>
      </c>
      <c r="B241" s="10">
        <f>VLOOKUP(przech_odp_gry_turniejowe[[#This Row],[Gry turniej]],gry_turniejowe[],2)</f>
        <v>3</v>
      </c>
      <c r="C241">
        <v>181</v>
      </c>
      <c r="D241">
        <v>240</v>
      </c>
    </row>
    <row r="242" spans="1:4" x14ac:dyDescent="0.2">
      <c r="A242" s="10" t="s">
        <v>30</v>
      </c>
      <c r="B242" s="10">
        <f>VLOOKUP(przech_odp_gry_turniejowe[[#This Row],[Gry turniej]],gry_turniejowe[],2)</f>
        <v>3</v>
      </c>
      <c r="C242">
        <v>182</v>
      </c>
      <c r="D242">
        <v>241</v>
      </c>
    </row>
    <row r="243" spans="1:4" x14ac:dyDescent="0.2">
      <c r="A243" s="10" t="s">
        <v>7</v>
      </c>
      <c r="B243" s="10">
        <f>VLOOKUP(przech_odp_gry_turniejowe[[#This Row],[Gry turniej]],gry_turniejowe[],2)</f>
        <v>21</v>
      </c>
      <c r="C243">
        <v>183</v>
      </c>
      <c r="D243">
        <v>242</v>
      </c>
    </row>
    <row r="244" spans="1:4" x14ac:dyDescent="0.2">
      <c r="A244" s="10" t="s">
        <v>26</v>
      </c>
      <c r="B244" s="10">
        <f>VLOOKUP(przech_odp_gry_turniejowe[[#This Row],[Gry turniej]],gry_turniejowe[],2)</f>
        <v>14</v>
      </c>
      <c r="C244">
        <v>184</v>
      </c>
      <c r="D244">
        <v>243</v>
      </c>
    </row>
    <row r="245" spans="1:4" x14ac:dyDescent="0.2">
      <c r="A245" s="10" t="s">
        <v>9</v>
      </c>
      <c r="B245" s="10">
        <f>VLOOKUP(przech_odp_gry_turniejowe[[#This Row],[Gry turniej]],gry_turniejowe[],2)</f>
        <v>15</v>
      </c>
      <c r="C245">
        <v>185</v>
      </c>
      <c r="D245">
        <v>244</v>
      </c>
    </row>
    <row r="246" spans="1:4" x14ac:dyDescent="0.2">
      <c r="A246" s="10" t="s">
        <v>33</v>
      </c>
      <c r="B246" s="10">
        <f>VLOOKUP(przech_odp_gry_turniejowe[[#This Row],[Gry turniej]],gry_turniejowe[],2)</f>
        <v>9</v>
      </c>
      <c r="C246">
        <v>186</v>
      </c>
      <c r="D246">
        <v>245</v>
      </c>
    </row>
    <row r="247" spans="1:4" x14ac:dyDescent="0.2">
      <c r="A247" s="10" t="s">
        <v>33</v>
      </c>
      <c r="B247" s="10">
        <f>VLOOKUP(przech_odp_gry_turniejowe[[#This Row],[Gry turniej]],gry_turniejowe[],2)</f>
        <v>9</v>
      </c>
      <c r="C247">
        <v>187</v>
      </c>
      <c r="D247">
        <v>246</v>
      </c>
    </row>
    <row r="248" spans="1:4" x14ac:dyDescent="0.2">
      <c r="A248" s="10" t="s">
        <v>9</v>
      </c>
      <c r="B248" s="10">
        <f>VLOOKUP(przech_odp_gry_turniejowe[[#This Row],[Gry turniej]],gry_turniejowe[],2)</f>
        <v>15</v>
      </c>
      <c r="C248">
        <v>188</v>
      </c>
      <c r="D248">
        <v>247</v>
      </c>
    </row>
    <row r="249" spans="1:4" x14ac:dyDescent="0.2">
      <c r="A249" s="10" t="s">
        <v>30</v>
      </c>
      <c r="B249" s="10">
        <f>VLOOKUP(przech_odp_gry_turniejowe[[#This Row],[Gry turniej]],gry_turniejowe[],2)</f>
        <v>3</v>
      </c>
      <c r="C249">
        <v>188</v>
      </c>
      <c r="D249">
        <v>248</v>
      </c>
    </row>
    <row r="250" spans="1:4" x14ac:dyDescent="0.2">
      <c r="A250" s="10" t="s">
        <v>9</v>
      </c>
      <c r="B250" s="10">
        <f>VLOOKUP(przech_odp_gry_turniejowe[[#This Row],[Gry turniej]],gry_turniejowe[],2)</f>
        <v>15</v>
      </c>
      <c r="C250">
        <v>189</v>
      </c>
      <c r="D250">
        <v>249</v>
      </c>
    </row>
    <row r="251" spans="1:4" x14ac:dyDescent="0.2">
      <c r="A251" s="10" t="s">
        <v>30</v>
      </c>
      <c r="B251" s="10">
        <f>VLOOKUP(przech_odp_gry_turniejowe[[#This Row],[Gry turniej]],gry_turniejowe[],2)</f>
        <v>3</v>
      </c>
      <c r="C251">
        <v>190</v>
      </c>
      <c r="D251">
        <v>250</v>
      </c>
    </row>
    <row r="252" spans="1:4" x14ac:dyDescent="0.2">
      <c r="A252" s="10" t="s">
        <v>38</v>
      </c>
      <c r="B252" s="10">
        <f>VLOOKUP(przech_odp_gry_turniejowe[[#This Row],[Gry turniej]],gry_turniejowe[],2)</f>
        <v>24</v>
      </c>
      <c r="C252">
        <v>191</v>
      </c>
      <c r="D252">
        <v>251</v>
      </c>
    </row>
    <row r="253" spans="1:4" x14ac:dyDescent="0.2">
      <c r="A253" s="10" t="s">
        <v>7</v>
      </c>
      <c r="B253" s="10">
        <f>VLOOKUP(przech_odp_gry_turniejowe[[#This Row],[Gry turniej]],gry_turniejowe[],2)</f>
        <v>21</v>
      </c>
      <c r="C253">
        <v>192</v>
      </c>
      <c r="D253">
        <v>252</v>
      </c>
    </row>
    <row r="254" spans="1:4" x14ac:dyDescent="0.2">
      <c r="A254" s="10" t="s">
        <v>26</v>
      </c>
      <c r="B254" s="10">
        <f>VLOOKUP(przech_odp_gry_turniejowe[[#This Row],[Gry turniej]],gry_turniejowe[],2)</f>
        <v>14</v>
      </c>
      <c r="C254">
        <v>193</v>
      </c>
      <c r="D254">
        <v>253</v>
      </c>
    </row>
    <row r="255" spans="1:4" x14ac:dyDescent="0.2">
      <c r="A255" s="10" t="s">
        <v>9</v>
      </c>
      <c r="B255" s="10">
        <f>VLOOKUP(przech_odp_gry_turniejowe[[#This Row],[Gry turniej]],gry_turniejowe[],2)</f>
        <v>15</v>
      </c>
      <c r="C255">
        <v>193</v>
      </c>
      <c r="D255">
        <v>254</v>
      </c>
    </row>
    <row r="256" spans="1:4" x14ac:dyDescent="0.2">
      <c r="A256" s="10" t="s">
        <v>48</v>
      </c>
      <c r="B256" s="10">
        <f>VLOOKUP(przech_odp_gry_turniejowe[[#This Row],[Gry turniej]],gry_turniejowe[],2)</f>
        <v>4</v>
      </c>
      <c r="C256">
        <v>194</v>
      </c>
      <c r="D256">
        <v>255</v>
      </c>
    </row>
    <row r="257" spans="1:4" x14ac:dyDescent="0.2">
      <c r="A257" s="10" t="s">
        <v>9</v>
      </c>
      <c r="B257" s="10">
        <f>VLOOKUP(przech_odp_gry_turniejowe[[#This Row],[Gry turniej]],gry_turniejowe[],2)</f>
        <v>15</v>
      </c>
      <c r="C257">
        <v>195</v>
      </c>
      <c r="D257">
        <v>256</v>
      </c>
    </row>
    <row r="258" spans="1:4" x14ac:dyDescent="0.2">
      <c r="A258" s="10" t="s">
        <v>9</v>
      </c>
      <c r="B258" s="10">
        <f>VLOOKUP(przech_odp_gry_turniejowe[[#This Row],[Gry turniej]],gry_turniejowe[],2)</f>
        <v>15</v>
      </c>
      <c r="C258">
        <v>196</v>
      </c>
      <c r="D258">
        <v>257</v>
      </c>
    </row>
    <row r="259" spans="1:4" x14ac:dyDescent="0.2">
      <c r="A259" s="10" t="s">
        <v>7</v>
      </c>
      <c r="B259" s="10">
        <f>VLOOKUP(przech_odp_gry_turniejowe[[#This Row],[Gry turniej]],gry_turniejowe[],2)</f>
        <v>21</v>
      </c>
      <c r="C259">
        <v>197</v>
      </c>
      <c r="D259">
        <v>258</v>
      </c>
    </row>
    <row r="260" spans="1:4" x14ac:dyDescent="0.2">
      <c r="A260" s="10" t="s">
        <v>30</v>
      </c>
      <c r="B260" s="10">
        <f>VLOOKUP(przech_odp_gry_turniejowe[[#This Row],[Gry turniej]],gry_turniejowe[],2)</f>
        <v>3</v>
      </c>
      <c r="C260">
        <v>198</v>
      </c>
      <c r="D260">
        <v>259</v>
      </c>
    </row>
    <row r="261" spans="1:4" x14ac:dyDescent="0.2">
      <c r="A261" s="10" t="s">
        <v>7</v>
      </c>
      <c r="B261" s="10">
        <f>VLOOKUP(przech_odp_gry_turniejowe[[#This Row],[Gry turniej]],gry_turniejowe[],2)</f>
        <v>21</v>
      </c>
      <c r="C261">
        <v>199</v>
      </c>
      <c r="D261">
        <v>260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C5C1B-A52A-4F63-A63D-88224E47BDAC}">
  <sheetPr codeName="Arkusz5"/>
  <dimension ref="A1:D281"/>
  <sheetViews>
    <sheetView workbookViewId="0">
      <selection activeCell="B2" sqref="B2"/>
    </sheetView>
  </sheetViews>
  <sheetFormatPr defaultRowHeight="12.75" x14ac:dyDescent="0.2"/>
  <cols>
    <col min="1" max="1" width="30.5703125" bestFit="1" customWidth="1"/>
    <col min="2" max="2" width="18.85546875" bestFit="1" customWidth="1"/>
    <col min="3" max="3" width="9.42578125" bestFit="1" customWidth="1"/>
    <col min="4" max="4" width="30.85546875" bestFit="1" customWidth="1"/>
  </cols>
  <sheetData>
    <row r="1" spans="1:4" x14ac:dyDescent="0.2">
      <c r="A1" t="s">
        <v>86</v>
      </c>
      <c r="B1" s="11" t="s">
        <v>214</v>
      </c>
      <c r="C1" t="s">
        <v>199</v>
      </c>
      <c r="D1" s="11" t="s">
        <v>207</v>
      </c>
    </row>
    <row r="2" spans="1:4" x14ac:dyDescent="0.2">
      <c r="A2" s="10" t="s">
        <v>30</v>
      </c>
      <c r="B2" s="10">
        <f>VLOOKUP(przech_odp_gry_regularne[[#This Row],[Gry regularne]],gry_regularne[],2)</f>
        <v>4</v>
      </c>
      <c r="C2">
        <v>1</v>
      </c>
      <c r="D2">
        <v>1</v>
      </c>
    </row>
    <row r="3" spans="1:4" x14ac:dyDescent="0.2">
      <c r="A3" s="10" t="s">
        <v>26</v>
      </c>
      <c r="B3" s="10">
        <f>VLOOKUP(przech_odp_gry_regularne[[#This Row],[Gry regularne]],gry_regularne[],2)</f>
        <v>14</v>
      </c>
      <c r="C3">
        <v>2</v>
      </c>
      <c r="D3">
        <v>2</v>
      </c>
    </row>
    <row r="4" spans="1:4" x14ac:dyDescent="0.2">
      <c r="A4" s="10" t="s">
        <v>9</v>
      </c>
      <c r="B4" s="10">
        <f>VLOOKUP(przech_odp_gry_regularne[[#This Row],[Gry regularne]],gry_regularne[],2)</f>
        <v>17</v>
      </c>
      <c r="C4">
        <v>2</v>
      </c>
      <c r="D4">
        <v>3</v>
      </c>
    </row>
    <row r="5" spans="1:4" x14ac:dyDescent="0.2">
      <c r="A5" s="10" t="s">
        <v>26</v>
      </c>
      <c r="B5" s="10">
        <f>VLOOKUP(przech_odp_gry_regularne[[#This Row],[Gry regularne]],gry_regularne[],2)</f>
        <v>14</v>
      </c>
      <c r="C5">
        <v>3</v>
      </c>
      <c r="D5">
        <v>4</v>
      </c>
    </row>
    <row r="6" spans="1:4" x14ac:dyDescent="0.2">
      <c r="A6" s="10" t="s">
        <v>9</v>
      </c>
      <c r="B6" s="10">
        <f>VLOOKUP(przech_odp_gry_regularne[[#This Row],[Gry regularne]],gry_regularne[],2)</f>
        <v>17</v>
      </c>
      <c r="C6">
        <v>3</v>
      </c>
      <c r="D6">
        <v>5</v>
      </c>
    </row>
    <row r="7" spans="1:4" x14ac:dyDescent="0.2">
      <c r="A7" s="10" t="s">
        <v>30</v>
      </c>
      <c r="B7" s="10">
        <f>VLOOKUP(przech_odp_gry_regularne[[#This Row],[Gry regularne]],gry_regularne[],2)</f>
        <v>4</v>
      </c>
      <c r="C7">
        <v>3</v>
      </c>
      <c r="D7">
        <v>6</v>
      </c>
    </row>
    <row r="8" spans="1:4" x14ac:dyDescent="0.2">
      <c r="A8" s="10" t="s">
        <v>38</v>
      </c>
      <c r="B8" s="10">
        <f>VLOOKUP(przech_odp_gry_regularne[[#This Row],[Gry regularne]],gry_regularne[],2)</f>
        <v>28</v>
      </c>
      <c r="C8">
        <v>3</v>
      </c>
      <c r="D8">
        <v>7</v>
      </c>
    </row>
    <row r="9" spans="1:4" x14ac:dyDescent="0.2">
      <c r="A9" s="10" t="s">
        <v>4</v>
      </c>
      <c r="B9" s="10">
        <f>VLOOKUP(przech_odp_gry_regularne[[#This Row],[Gry regularne]],gry_regularne[],2)</f>
        <v>21</v>
      </c>
      <c r="C9">
        <v>4</v>
      </c>
      <c r="D9">
        <v>8</v>
      </c>
    </row>
    <row r="10" spans="1:4" x14ac:dyDescent="0.2">
      <c r="A10" s="10" t="s">
        <v>26</v>
      </c>
      <c r="B10" s="10">
        <f>VLOOKUP(przech_odp_gry_regularne[[#This Row],[Gry regularne]],gry_regularne[],2)</f>
        <v>14</v>
      </c>
      <c r="C10">
        <v>5</v>
      </c>
      <c r="D10">
        <v>9</v>
      </c>
    </row>
    <row r="11" spans="1:4" x14ac:dyDescent="0.2">
      <c r="A11" s="10" t="s">
        <v>9</v>
      </c>
      <c r="B11" s="10">
        <f>VLOOKUP(przech_odp_gry_regularne[[#This Row],[Gry regularne]],gry_regularne[],2)</f>
        <v>17</v>
      </c>
      <c r="C11">
        <v>5</v>
      </c>
      <c r="D11">
        <v>10</v>
      </c>
    </row>
    <row r="12" spans="1:4" x14ac:dyDescent="0.2">
      <c r="A12" s="10" t="s">
        <v>14</v>
      </c>
      <c r="B12" s="10">
        <f>VLOOKUP(przech_odp_gry_regularne[[#This Row],[Gry regularne]],gry_regularne[],2)</f>
        <v>25</v>
      </c>
      <c r="C12">
        <v>6</v>
      </c>
      <c r="D12">
        <v>11</v>
      </c>
    </row>
    <row r="13" spans="1:4" x14ac:dyDescent="0.2">
      <c r="A13" s="10" t="s">
        <v>9</v>
      </c>
      <c r="B13" s="10">
        <f>VLOOKUP(przech_odp_gry_regularne[[#This Row],[Gry regularne]],gry_regularne[],2)</f>
        <v>17</v>
      </c>
      <c r="C13">
        <v>7</v>
      </c>
      <c r="D13">
        <v>12</v>
      </c>
    </row>
    <row r="14" spans="1:4" x14ac:dyDescent="0.2">
      <c r="A14" s="10" t="s">
        <v>30</v>
      </c>
      <c r="B14" s="10">
        <f>VLOOKUP(przech_odp_gry_regularne[[#This Row],[Gry regularne]],gry_regularne[],2)</f>
        <v>4</v>
      </c>
      <c r="C14">
        <v>7</v>
      </c>
      <c r="D14">
        <v>13</v>
      </c>
    </row>
    <row r="15" spans="1:4" x14ac:dyDescent="0.2">
      <c r="A15" s="10" t="s">
        <v>91</v>
      </c>
      <c r="B15" s="10">
        <f>VLOOKUP(przech_odp_gry_regularne[[#This Row],[Gry regularne]],gry_regularne[],2)</f>
        <v>15</v>
      </c>
      <c r="C15">
        <v>7</v>
      </c>
      <c r="D15">
        <v>14</v>
      </c>
    </row>
    <row r="16" spans="1:4" x14ac:dyDescent="0.2">
      <c r="A16" s="10" t="s">
        <v>91</v>
      </c>
      <c r="B16" s="10">
        <f>VLOOKUP(przech_odp_gry_regularne[[#This Row],[Gry regularne]],gry_regularne[],2)</f>
        <v>15</v>
      </c>
      <c r="C16">
        <v>8</v>
      </c>
      <c r="D16">
        <v>15</v>
      </c>
    </row>
    <row r="17" spans="1:4" x14ac:dyDescent="0.2">
      <c r="A17" s="10" t="s">
        <v>4</v>
      </c>
      <c r="B17" s="10">
        <f>VLOOKUP(przech_odp_gry_regularne[[#This Row],[Gry regularne]],gry_regularne[],2)</f>
        <v>21</v>
      </c>
      <c r="C17">
        <v>9</v>
      </c>
      <c r="D17">
        <v>16</v>
      </c>
    </row>
    <row r="18" spans="1:4" x14ac:dyDescent="0.2">
      <c r="A18" s="10" t="s">
        <v>33</v>
      </c>
      <c r="B18" s="10">
        <f>VLOOKUP(przech_odp_gry_regularne[[#This Row],[Gry regularne]],gry_regularne[],2)</f>
        <v>7</v>
      </c>
      <c r="C18">
        <v>10</v>
      </c>
      <c r="D18">
        <v>17</v>
      </c>
    </row>
    <row r="19" spans="1:4" x14ac:dyDescent="0.2">
      <c r="A19" s="10" t="s">
        <v>28</v>
      </c>
      <c r="B19" s="10">
        <f>VLOOKUP(przech_odp_gry_regularne[[#This Row],[Gry regularne]],gry_regularne[],2)</f>
        <v>22</v>
      </c>
      <c r="C19">
        <v>11</v>
      </c>
      <c r="D19">
        <v>18</v>
      </c>
    </row>
    <row r="20" spans="1:4" x14ac:dyDescent="0.2">
      <c r="A20" s="10" t="s">
        <v>26</v>
      </c>
      <c r="B20" s="10">
        <f>VLOOKUP(przech_odp_gry_regularne[[#This Row],[Gry regularne]],gry_regularne[],2)</f>
        <v>14</v>
      </c>
      <c r="C20">
        <v>11</v>
      </c>
      <c r="D20">
        <v>19</v>
      </c>
    </row>
    <row r="21" spans="1:4" x14ac:dyDescent="0.2">
      <c r="A21" s="10" t="s">
        <v>30</v>
      </c>
      <c r="B21" s="10">
        <f>VLOOKUP(przech_odp_gry_regularne[[#This Row],[Gry regularne]],gry_regularne[],2)</f>
        <v>4</v>
      </c>
      <c r="C21">
        <v>11</v>
      </c>
      <c r="D21">
        <v>20</v>
      </c>
    </row>
    <row r="22" spans="1:4" x14ac:dyDescent="0.2">
      <c r="A22" s="10" t="s">
        <v>9</v>
      </c>
      <c r="B22" s="10">
        <f>VLOOKUP(przech_odp_gry_regularne[[#This Row],[Gry regularne]],gry_regularne[],2)</f>
        <v>17</v>
      </c>
      <c r="C22">
        <v>12</v>
      </c>
      <c r="D22">
        <v>21</v>
      </c>
    </row>
    <row r="23" spans="1:4" x14ac:dyDescent="0.2">
      <c r="A23" s="10" t="s">
        <v>91</v>
      </c>
      <c r="B23" s="10">
        <f>VLOOKUP(przech_odp_gry_regularne[[#This Row],[Gry regularne]],gry_regularne[],2)</f>
        <v>15</v>
      </c>
      <c r="C23">
        <v>13</v>
      </c>
      <c r="D23">
        <v>22</v>
      </c>
    </row>
    <row r="24" spans="1:4" x14ac:dyDescent="0.2">
      <c r="A24" s="10" t="s">
        <v>33</v>
      </c>
      <c r="B24" s="10">
        <f>VLOOKUP(przech_odp_gry_regularne[[#This Row],[Gry regularne]],gry_regularne[],2)</f>
        <v>7</v>
      </c>
      <c r="C24">
        <v>14</v>
      </c>
      <c r="D24">
        <v>23</v>
      </c>
    </row>
    <row r="25" spans="1:4" x14ac:dyDescent="0.2">
      <c r="A25" s="10" t="s">
        <v>4</v>
      </c>
      <c r="B25" s="10">
        <f>VLOOKUP(przech_odp_gry_regularne[[#This Row],[Gry regularne]],gry_regularne[],2)</f>
        <v>21</v>
      </c>
      <c r="C25">
        <v>15</v>
      </c>
      <c r="D25">
        <v>24</v>
      </c>
    </row>
    <row r="26" spans="1:4" x14ac:dyDescent="0.2">
      <c r="A26" s="10" t="s">
        <v>9</v>
      </c>
      <c r="B26" s="10">
        <f>VLOOKUP(przech_odp_gry_regularne[[#This Row],[Gry regularne]],gry_regularne[],2)</f>
        <v>17</v>
      </c>
      <c r="C26">
        <v>16</v>
      </c>
      <c r="D26">
        <v>25</v>
      </c>
    </row>
    <row r="27" spans="1:4" x14ac:dyDescent="0.2">
      <c r="A27" s="10" t="s">
        <v>38</v>
      </c>
      <c r="B27" s="10">
        <f>VLOOKUP(przech_odp_gry_regularne[[#This Row],[Gry regularne]],gry_regularne[],2)</f>
        <v>28</v>
      </c>
      <c r="C27">
        <v>16</v>
      </c>
      <c r="D27">
        <v>26</v>
      </c>
    </row>
    <row r="28" spans="1:4" x14ac:dyDescent="0.2">
      <c r="A28" s="10" t="s">
        <v>4</v>
      </c>
      <c r="B28" s="10">
        <f>VLOOKUP(przech_odp_gry_regularne[[#This Row],[Gry regularne]],gry_regularne[],2)</f>
        <v>21</v>
      </c>
      <c r="C28">
        <v>17</v>
      </c>
      <c r="D28">
        <v>27</v>
      </c>
    </row>
    <row r="29" spans="1:4" x14ac:dyDescent="0.2">
      <c r="A29" s="10" t="s">
        <v>4</v>
      </c>
      <c r="B29" s="10">
        <f>VLOOKUP(przech_odp_gry_regularne[[#This Row],[Gry regularne]],gry_regularne[],2)</f>
        <v>21</v>
      </c>
      <c r="C29">
        <v>18</v>
      </c>
      <c r="D29">
        <v>28</v>
      </c>
    </row>
    <row r="30" spans="1:4" x14ac:dyDescent="0.2">
      <c r="A30" s="10" t="s">
        <v>4</v>
      </c>
      <c r="B30" s="10">
        <f>VLOOKUP(przech_odp_gry_regularne[[#This Row],[Gry regularne]],gry_regularne[],2)</f>
        <v>21</v>
      </c>
      <c r="C30">
        <v>19</v>
      </c>
      <c r="D30">
        <v>29</v>
      </c>
    </row>
    <row r="31" spans="1:4" x14ac:dyDescent="0.2">
      <c r="A31" s="10" t="s">
        <v>4</v>
      </c>
      <c r="B31" s="10">
        <f>VLOOKUP(przech_odp_gry_regularne[[#This Row],[Gry regularne]],gry_regularne[],2)</f>
        <v>21</v>
      </c>
      <c r="C31">
        <v>20</v>
      </c>
      <c r="D31">
        <v>30</v>
      </c>
    </row>
    <row r="32" spans="1:4" x14ac:dyDescent="0.2">
      <c r="A32" s="10" t="s">
        <v>9</v>
      </c>
      <c r="B32" s="10">
        <f>VLOOKUP(przech_odp_gry_regularne[[#This Row],[Gry regularne]],gry_regularne[],2)</f>
        <v>17</v>
      </c>
      <c r="C32">
        <v>21</v>
      </c>
      <c r="D32">
        <v>31</v>
      </c>
    </row>
    <row r="33" spans="1:4" x14ac:dyDescent="0.2">
      <c r="A33" s="10" t="s">
        <v>30</v>
      </c>
      <c r="B33" s="10">
        <f>VLOOKUP(przech_odp_gry_regularne[[#This Row],[Gry regularne]],gry_regularne[],2)</f>
        <v>4</v>
      </c>
      <c r="C33">
        <v>21</v>
      </c>
      <c r="D33">
        <v>32</v>
      </c>
    </row>
    <row r="34" spans="1:4" x14ac:dyDescent="0.2">
      <c r="A34" s="10" t="s">
        <v>9</v>
      </c>
      <c r="B34" s="10">
        <f>VLOOKUP(przech_odp_gry_regularne[[#This Row],[Gry regularne]],gry_regularne[],2)</f>
        <v>17</v>
      </c>
      <c r="C34">
        <v>22</v>
      </c>
      <c r="D34">
        <v>33</v>
      </c>
    </row>
    <row r="35" spans="1:4" x14ac:dyDescent="0.2">
      <c r="A35" s="10" t="s">
        <v>4</v>
      </c>
      <c r="B35" s="10">
        <f>VLOOKUP(przech_odp_gry_regularne[[#This Row],[Gry regularne]],gry_regularne[],2)</f>
        <v>21</v>
      </c>
      <c r="C35">
        <v>23</v>
      </c>
      <c r="D35">
        <v>34</v>
      </c>
    </row>
    <row r="36" spans="1:4" x14ac:dyDescent="0.2">
      <c r="A36" s="10" t="s">
        <v>9</v>
      </c>
      <c r="B36" s="10">
        <f>VLOOKUP(przech_odp_gry_regularne[[#This Row],[Gry regularne]],gry_regularne[],2)</f>
        <v>17</v>
      </c>
      <c r="C36">
        <v>24</v>
      </c>
      <c r="D36">
        <v>35</v>
      </c>
    </row>
    <row r="37" spans="1:4" x14ac:dyDescent="0.2">
      <c r="A37" s="10" t="s">
        <v>30</v>
      </c>
      <c r="B37" s="10">
        <f>VLOOKUP(przech_odp_gry_regularne[[#This Row],[Gry regularne]],gry_regularne[],2)</f>
        <v>4</v>
      </c>
      <c r="C37">
        <v>25</v>
      </c>
      <c r="D37">
        <v>36</v>
      </c>
    </row>
    <row r="38" spans="1:4" x14ac:dyDescent="0.2">
      <c r="A38" s="10" t="s">
        <v>4</v>
      </c>
      <c r="B38" s="10">
        <f>VLOOKUP(przech_odp_gry_regularne[[#This Row],[Gry regularne]],gry_regularne[],2)</f>
        <v>21</v>
      </c>
      <c r="C38">
        <v>26</v>
      </c>
      <c r="D38">
        <v>37</v>
      </c>
    </row>
    <row r="39" spans="1:4" x14ac:dyDescent="0.2">
      <c r="A39" s="10" t="s">
        <v>26</v>
      </c>
      <c r="B39" s="10">
        <f>VLOOKUP(przech_odp_gry_regularne[[#This Row],[Gry regularne]],gry_regularne[],2)</f>
        <v>14</v>
      </c>
      <c r="C39">
        <v>27</v>
      </c>
      <c r="D39">
        <v>38</v>
      </c>
    </row>
    <row r="40" spans="1:4" x14ac:dyDescent="0.2">
      <c r="A40" s="10" t="s">
        <v>9</v>
      </c>
      <c r="B40" s="10">
        <f>VLOOKUP(przech_odp_gry_regularne[[#This Row],[Gry regularne]],gry_regularne[],2)</f>
        <v>17</v>
      </c>
      <c r="C40">
        <v>27</v>
      </c>
      <c r="D40">
        <v>39</v>
      </c>
    </row>
    <row r="41" spans="1:4" x14ac:dyDescent="0.2">
      <c r="A41" s="10" t="s">
        <v>26</v>
      </c>
      <c r="B41" s="10">
        <f>VLOOKUP(przech_odp_gry_regularne[[#This Row],[Gry regularne]],gry_regularne[],2)</f>
        <v>14</v>
      </c>
      <c r="C41">
        <v>28</v>
      </c>
      <c r="D41">
        <v>40</v>
      </c>
    </row>
    <row r="42" spans="1:4" x14ac:dyDescent="0.2">
      <c r="A42" s="10" t="s">
        <v>4</v>
      </c>
      <c r="B42" s="10">
        <f>VLOOKUP(przech_odp_gry_regularne[[#This Row],[Gry regularne]],gry_regularne[],2)</f>
        <v>21</v>
      </c>
      <c r="C42">
        <v>29</v>
      </c>
      <c r="D42">
        <v>41</v>
      </c>
    </row>
    <row r="43" spans="1:4" x14ac:dyDescent="0.2">
      <c r="A43" s="10" t="s">
        <v>30</v>
      </c>
      <c r="B43" s="10">
        <f>VLOOKUP(przech_odp_gry_regularne[[#This Row],[Gry regularne]],gry_regularne[],2)</f>
        <v>4</v>
      </c>
      <c r="C43">
        <v>30</v>
      </c>
      <c r="D43">
        <v>42</v>
      </c>
    </row>
    <row r="44" spans="1:4" x14ac:dyDescent="0.2">
      <c r="A44" s="10" t="s">
        <v>48</v>
      </c>
      <c r="B44" s="10">
        <f>VLOOKUP(przech_odp_gry_regularne[[#This Row],[Gry regularne]],gry_regularne[],2)</f>
        <v>9</v>
      </c>
      <c r="C44">
        <v>31</v>
      </c>
      <c r="D44">
        <v>43</v>
      </c>
    </row>
    <row r="45" spans="1:4" x14ac:dyDescent="0.2">
      <c r="A45" s="10" t="s">
        <v>38</v>
      </c>
      <c r="B45" s="10">
        <f>VLOOKUP(przech_odp_gry_regularne[[#This Row],[Gry regularne]],gry_regularne[],2)</f>
        <v>28</v>
      </c>
      <c r="C45">
        <v>32</v>
      </c>
      <c r="D45">
        <v>44</v>
      </c>
    </row>
    <row r="46" spans="1:4" x14ac:dyDescent="0.2">
      <c r="A46" s="10" t="s">
        <v>53</v>
      </c>
      <c r="B46" s="10">
        <f>VLOOKUP(przech_odp_gry_regularne[[#This Row],[Gry regularne]],gry_regularne[],2)</f>
        <v>16</v>
      </c>
      <c r="C46">
        <v>32</v>
      </c>
      <c r="D46">
        <v>45</v>
      </c>
    </row>
    <row r="47" spans="1:4" x14ac:dyDescent="0.2">
      <c r="A47" s="10" t="s">
        <v>30</v>
      </c>
      <c r="B47" s="10">
        <f>VLOOKUP(przech_odp_gry_regularne[[#This Row],[Gry regularne]],gry_regularne[],2)</f>
        <v>4</v>
      </c>
      <c r="C47">
        <v>33</v>
      </c>
      <c r="D47">
        <v>46</v>
      </c>
    </row>
    <row r="48" spans="1:4" x14ac:dyDescent="0.2">
      <c r="A48" s="10" t="s">
        <v>28</v>
      </c>
      <c r="B48" s="10">
        <f>VLOOKUP(przech_odp_gry_regularne[[#This Row],[Gry regularne]],gry_regularne[],2)</f>
        <v>22</v>
      </c>
      <c r="C48">
        <v>34</v>
      </c>
      <c r="D48">
        <v>47</v>
      </c>
    </row>
    <row r="49" spans="1:4" x14ac:dyDescent="0.2">
      <c r="A49" s="10" t="s">
        <v>9</v>
      </c>
      <c r="B49" s="10">
        <f>VLOOKUP(przech_odp_gry_regularne[[#This Row],[Gry regularne]],gry_regularne[],2)</f>
        <v>17</v>
      </c>
      <c r="C49">
        <v>35</v>
      </c>
      <c r="D49">
        <v>48</v>
      </c>
    </row>
    <row r="50" spans="1:4" x14ac:dyDescent="0.2">
      <c r="A50" s="10" t="s">
        <v>94</v>
      </c>
      <c r="B50" s="10">
        <f>VLOOKUP(przech_odp_gry_regularne[[#This Row],[Gry regularne]],gry_regularne[],2)</f>
        <v>34</v>
      </c>
      <c r="C50">
        <v>36</v>
      </c>
      <c r="D50">
        <v>49</v>
      </c>
    </row>
    <row r="51" spans="1:4" x14ac:dyDescent="0.2">
      <c r="A51" s="10" t="s">
        <v>26</v>
      </c>
      <c r="B51" s="10">
        <f>VLOOKUP(przech_odp_gry_regularne[[#This Row],[Gry regularne]],gry_regularne[],2)</f>
        <v>14</v>
      </c>
      <c r="C51">
        <v>37</v>
      </c>
      <c r="D51">
        <v>50</v>
      </c>
    </row>
    <row r="52" spans="1:4" x14ac:dyDescent="0.2">
      <c r="A52" s="10" t="s">
        <v>9</v>
      </c>
      <c r="B52" s="10">
        <f>VLOOKUP(przech_odp_gry_regularne[[#This Row],[Gry regularne]],gry_regularne[],2)</f>
        <v>17</v>
      </c>
      <c r="C52">
        <v>38</v>
      </c>
      <c r="D52">
        <v>51</v>
      </c>
    </row>
    <row r="53" spans="1:4" x14ac:dyDescent="0.2">
      <c r="A53" s="10" t="s">
        <v>4</v>
      </c>
      <c r="B53" s="10">
        <f>VLOOKUP(przech_odp_gry_regularne[[#This Row],[Gry regularne]],gry_regularne[],2)</f>
        <v>21</v>
      </c>
      <c r="C53">
        <v>39</v>
      </c>
      <c r="D53">
        <v>52</v>
      </c>
    </row>
    <row r="54" spans="1:4" x14ac:dyDescent="0.2">
      <c r="A54" s="10" t="s">
        <v>30</v>
      </c>
      <c r="B54" s="10">
        <f>VLOOKUP(przech_odp_gry_regularne[[#This Row],[Gry regularne]],gry_regularne[],2)</f>
        <v>4</v>
      </c>
      <c r="C54">
        <v>40</v>
      </c>
      <c r="D54">
        <v>53</v>
      </c>
    </row>
    <row r="55" spans="1:4" x14ac:dyDescent="0.2">
      <c r="A55" s="10" t="s">
        <v>30</v>
      </c>
      <c r="B55" s="10">
        <f>VLOOKUP(przech_odp_gry_regularne[[#This Row],[Gry regularne]],gry_regularne[],2)</f>
        <v>4</v>
      </c>
      <c r="C55">
        <v>41</v>
      </c>
      <c r="D55">
        <v>54</v>
      </c>
    </row>
    <row r="56" spans="1:4" x14ac:dyDescent="0.2">
      <c r="A56" s="10" t="s">
        <v>33</v>
      </c>
      <c r="B56" s="10">
        <f>VLOOKUP(przech_odp_gry_regularne[[#This Row],[Gry regularne]],gry_regularne[],2)</f>
        <v>7</v>
      </c>
      <c r="C56">
        <v>42</v>
      </c>
      <c r="D56">
        <v>55</v>
      </c>
    </row>
    <row r="57" spans="1:4" x14ac:dyDescent="0.2">
      <c r="A57" s="10" t="s">
        <v>164</v>
      </c>
      <c r="B57" s="10">
        <f>VLOOKUP(przech_odp_gry_regularne[[#This Row],[Gry regularne]],gry_regularne[],2)</f>
        <v>24</v>
      </c>
      <c r="C57">
        <v>42</v>
      </c>
      <c r="D57">
        <v>56</v>
      </c>
    </row>
    <row r="58" spans="1:4" x14ac:dyDescent="0.2">
      <c r="A58" s="10" t="s">
        <v>30</v>
      </c>
      <c r="B58" s="10">
        <f>VLOOKUP(przech_odp_gry_regularne[[#This Row],[Gry regularne]],gry_regularne[],2)</f>
        <v>4</v>
      </c>
      <c r="C58">
        <v>43</v>
      </c>
      <c r="D58">
        <v>57</v>
      </c>
    </row>
    <row r="59" spans="1:4" x14ac:dyDescent="0.2">
      <c r="A59" s="10" t="s">
        <v>4</v>
      </c>
      <c r="B59" s="10">
        <f>VLOOKUP(przech_odp_gry_regularne[[#This Row],[Gry regularne]],gry_regularne[],2)</f>
        <v>21</v>
      </c>
      <c r="C59">
        <v>44</v>
      </c>
      <c r="D59">
        <v>58</v>
      </c>
    </row>
    <row r="60" spans="1:4" x14ac:dyDescent="0.2">
      <c r="A60" s="10" t="s">
        <v>4</v>
      </c>
      <c r="B60" s="10">
        <f>VLOOKUP(przech_odp_gry_regularne[[#This Row],[Gry regularne]],gry_regularne[],2)</f>
        <v>21</v>
      </c>
      <c r="C60">
        <v>45</v>
      </c>
      <c r="D60">
        <v>59</v>
      </c>
    </row>
    <row r="61" spans="1:4" x14ac:dyDescent="0.2">
      <c r="A61" s="10" t="s">
        <v>52</v>
      </c>
      <c r="B61" s="10">
        <f>VLOOKUP(przech_odp_gry_regularne[[#This Row],[Gry regularne]],gry_regularne[],2)</f>
        <v>36</v>
      </c>
      <c r="C61">
        <v>46</v>
      </c>
      <c r="D61">
        <v>60</v>
      </c>
    </row>
    <row r="62" spans="1:4" x14ac:dyDescent="0.2">
      <c r="A62" s="10" t="s">
        <v>53</v>
      </c>
      <c r="B62" s="10">
        <f>VLOOKUP(przech_odp_gry_regularne[[#This Row],[Gry regularne]],gry_regularne[],2)</f>
        <v>16</v>
      </c>
      <c r="C62">
        <v>47</v>
      </c>
      <c r="D62">
        <v>61</v>
      </c>
    </row>
    <row r="63" spans="1:4" x14ac:dyDescent="0.2">
      <c r="A63" s="10" t="s">
        <v>4</v>
      </c>
      <c r="B63" s="10">
        <f>VLOOKUP(przech_odp_gry_regularne[[#This Row],[Gry regularne]],gry_regularne[],2)</f>
        <v>21</v>
      </c>
      <c r="C63">
        <v>48</v>
      </c>
      <c r="D63">
        <v>62</v>
      </c>
    </row>
    <row r="64" spans="1:4" x14ac:dyDescent="0.2">
      <c r="A64" s="10" t="s">
        <v>4</v>
      </c>
      <c r="B64" s="10">
        <f>VLOOKUP(przech_odp_gry_regularne[[#This Row],[Gry regularne]],gry_regularne[],2)</f>
        <v>21</v>
      </c>
      <c r="C64">
        <v>49</v>
      </c>
      <c r="D64">
        <v>63</v>
      </c>
    </row>
    <row r="65" spans="1:4" x14ac:dyDescent="0.2">
      <c r="A65" s="10" t="s">
        <v>30</v>
      </c>
      <c r="B65" s="10">
        <f>VLOOKUP(przech_odp_gry_regularne[[#This Row],[Gry regularne]],gry_regularne[],2)</f>
        <v>4</v>
      </c>
      <c r="C65">
        <v>50</v>
      </c>
      <c r="D65">
        <v>64</v>
      </c>
    </row>
    <row r="66" spans="1:4" x14ac:dyDescent="0.2">
      <c r="A66" s="10" t="s">
        <v>38</v>
      </c>
      <c r="B66" s="10">
        <f>VLOOKUP(przech_odp_gry_regularne[[#This Row],[Gry regularne]],gry_regularne[],2)</f>
        <v>28</v>
      </c>
      <c r="C66">
        <v>50</v>
      </c>
      <c r="D66">
        <v>65</v>
      </c>
    </row>
    <row r="67" spans="1:4" x14ac:dyDescent="0.2">
      <c r="A67" s="10" t="s">
        <v>28</v>
      </c>
      <c r="B67" s="10">
        <f>VLOOKUP(przech_odp_gry_regularne[[#This Row],[Gry regularne]],gry_regularne[],2)</f>
        <v>22</v>
      </c>
      <c r="C67">
        <v>51</v>
      </c>
      <c r="D67">
        <v>66</v>
      </c>
    </row>
    <row r="68" spans="1:4" x14ac:dyDescent="0.2">
      <c r="A68" s="10" t="s">
        <v>9</v>
      </c>
      <c r="B68" s="10">
        <f>VLOOKUP(przech_odp_gry_regularne[[#This Row],[Gry regularne]],gry_regularne[],2)</f>
        <v>17</v>
      </c>
      <c r="C68">
        <v>51</v>
      </c>
      <c r="D68">
        <v>67</v>
      </c>
    </row>
    <row r="69" spans="1:4" x14ac:dyDescent="0.2">
      <c r="A69" s="10" t="s">
        <v>165</v>
      </c>
      <c r="B69" s="10">
        <f>VLOOKUP(przech_odp_gry_regularne[[#This Row],[Gry regularne]],gry_regularne[],2)</f>
        <v>37</v>
      </c>
      <c r="C69">
        <v>51</v>
      </c>
      <c r="D69">
        <v>68</v>
      </c>
    </row>
    <row r="70" spans="1:4" x14ac:dyDescent="0.2">
      <c r="A70" s="10" t="s">
        <v>186</v>
      </c>
      <c r="B70" s="10">
        <f>VLOOKUP(przech_odp_gry_regularne[[#This Row],[Gry regularne]],gry_regularne[],2)</f>
        <v>33</v>
      </c>
      <c r="C70">
        <v>51</v>
      </c>
      <c r="D70">
        <v>69</v>
      </c>
    </row>
    <row r="71" spans="1:4" x14ac:dyDescent="0.2">
      <c r="A71" s="10" t="s">
        <v>30</v>
      </c>
      <c r="B71" s="10">
        <f>VLOOKUP(przech_odp_gry_regularne[[#This Row],[Gry regularne]],gry_regularne[],2)</f>
        <v>4</v>
      </c>
      <c r="C71">
        <v>52</v>
      </c>
      <c r="D71">
        <v>70</v>
      </c>
    </row>
    <row r="72" spans="1:4" x14ac:dyDescent="0.2">
      <c r="A72" s="10" t="s">
        <v>33</v>
      </c>
      <c r="B72" s="10">
        <f>VLOOKUP(przech_odp_gry_regularne[[#This Row],[Gry regularne]],gry_regularne[],2)</f>
        <v>7</v>
      </c>
      <c r="C72">
        <v>53</v>
      </c>
      <c r="D72">
        <v>71</v>
      </c>
    </row>
    <row r="73" spans="1:4" x14ac:dyDescent="0.2">
      <c r="A73" s="10" t="s">
        <v>4</v>
      </c>
      <c r="B73" s="10">
        <f>VLOOKUP(przech_odp_gry_regularne[[#This Row],[Gry regularne]],gry_regularne[],2)</f>
        <v>21</v>
      </c>
      <c r="C73">
        <v>54</v>
      </c>
      <c r="D73">
        <v>72</v>
      </c>
    </row>
    <row r="74" spans="1:4" x14ac:dyDescent="0.2">
      <c r="A74" s="10" t="s">
        <v>9</v>
      </c>
      <c r="B74" s="10">
        <f>VLOOKUP(przech_odp_gry_regularne[[#This Row],[Gry regularne]],gry_regularne[],2)</f>
        <v>17</v>
      </c>
      <c r="C74">
        <v>55</v>
      </c>
      <c r="D74">
        <v>73</v>
      </c>
    </row>
    <row r="75" spans="1:4" x14ac:dyDescent="0.2">
      <c r="A75" s="10" t="s">
        <v>28</v>
      </c>
      <c r="B75" s="10">
        <f>VLOOKUP(przech_odp_gry_regularne[[#This Row],[Gry regularne]],gry_regularne[],2)</f>
        <v>22</v>
      </c>
      <c r="C75">
        <v>56</v>
      </c>
      <c r="D75">
        <v>74</v>
      </c>
    </row>
    <row r="76" spans="1:4" x14ac:dyDescent="0.2">
      <c r="A76" s="10" t="s">
        <v>4</v>
      </c>
      <c r="B76" s="10">
        <f>VLOOKUP(przech_odp_gry_regularne[[#This Row],[Gry regularne]],gry_regularne[],2)</f>
        <v>21</v>
      </c>
      <c r="C76">
        <v>57</v>
      </c>
      <c r="D76">
        <v>75</v>
      </c>
    </row>
    <row r="77" spans="1:4" x14ac:dyDescent="0.2">
      <c r="A77" s="10" t="s">
        <v>28</v>
      </c>
      <c r="B77" s="10">
        <f>VLOOKUP(przech_odp_gry_regularne[[#This Row],[Gry regularne]],gry_regularne[],2)</f>
        <v>22</v>
      </c>
      <c r="C77">
        <v>58</v>
      </c>
      <c r="D77">
        <v>76</v>
      </c>
    </row>
    <row r="78" spans="1:4" x14ac:dyDescent="0.2">
      <c r="A78" s="10" t="s">
        <v>26</v>
      </c>
      <c r="B78" s="10">
        <f>VLOOKUP(przech_odp_gry_regularne[[#This Row],[Gry regularne]],gry_regularne[],2)</f>
        <v>14</v>
      </c>
      <c r="C78">
        <v>58</v>
      </c>
      <c r="D78">
        <v>77</v>
      </c>
    </row>
    <row r="79" spans="1:4" x14ac:dyDescent="0.2">
      <c r="A79" s="10" t="s">
        <v>30</v>
      </c>
      <c r="B79" s="10">
        <f>VLOOKUP(przech_odp_gry_regularne[[#This Row],[Gry regularne]],gry_regularne[],2)</f>
        <v>4</v>
      </c>
      <c r="C79">
        <v>59</v>
      </c>
      <c r="D79">
        <v>78</v>
      </c>
    </row>
    <row r="80" spans="1:4" x14ac:dyDescent="0.2">
      <c r="A80" s="10" t="s">
        <v>4</v>
      </c>
      <c r="B80" s="10">
        <f>VLOOKUP(przech_odp_gry_regularne[[#This Row],[Gry regularne]],gry_regularne[],2)</f>
        <v>21</v>
      </c>
      <c r="C80">
        <v>60</v>
      </c>
      <c r="D80">
        <v>79</v>
      </c>
    </row>
    <row r="81" spans="1:4" x14ac:dyDescent="0.2">
      <c r="A81" s="10" t="s">
        <v>4</v>
      </c>
      <c r="B81" s="10">
        <f>VLOOKUP(przech_odp_gry_regularne[[#This Row],[Gry regularne]],gry_regularne[],2)</f>
        <v>21</v>
      </c>
      <c r="C81">
        <v>61</v>
      </c>
      <c r="D81">
        <v>80</v>
      </c>
    </row>
    <row r="82" spans="1:4" x14ac:dyDescent="0.2">
      <c r="A82" s="10" t="s">
        <v>30</v>
      </c>
      <c r="B82" s="10">
        <f>VLOOKUP(przech_odp_gry_regularne[[#This Row],[Gry regularne]],gry_regularne[],2)</f>
        <v>4</v>
      </c>
      <c r="C82">
        <v>62</v>
      </c>
      <c r="D82">
        <v>81</v>
      </c>
    </row>
    <row r="83" spans="1:4" x14ac:dyDescent="0.2">
      <c r="A83" s="10" t="s">
        <v>4</v>
      </c>
      <c r="B83" s="10">
        <f>VLOOKUP(przech_odp_gry_regularne[[#This Row],[Gry regularne]],gry_regularne[],2)</f>
        <v>21</v>
      </c>
      <c r="C83">
        <v>63</v>
      </c>
      <c r="D83">
        <v>82</v>
      </c>
    </row>
    <row r="84" spans="1:4" x14ac:dyDescent="0.2">
      <c r="A84" s="10" t="s">
        <v>38</v>
      </c>
      <c r="B84" s="10">
        <f>VLOOKUP(przech_odp_gry_regularne[[#This Row],[Gry regularne]],gry_regularne[],2)</f>
        <v>28</v>
      </c>
      <c r="C84">
        <v>64</v>
      </c>
      <c r="D84">
        <v>83</v>
      </c>
    </row>
    <row r="85" spans="1:4" x14ac:dyDescent="0.2">
      <c r="A85" s="10" t="s">
        <v>166</v>
      </c>
      <c r="B85" s="10">
        <f>VLOOKUP(przech_odp_gry_regularne[[#This Row],[Gry regularne]],gry_regularne[],2)</f>
        <v>30</v>
      </c>
      <c r="C85">
        <v>64</v>
      </c>
      <c r="D85">
        <v>84</v>
      </c>
    </row>
    <row r="86" spans="1:4" x14ac:dyDescent="0.2">
      <c r="A86" s="10" t="s">
        <v>94</v>
      </c>
      <c r="B86" s="10">
        <f>VLOOKUP(przech_odp_gry_regularne[[#This Row],[Gry regularne]],gry_regularne[],2)</f>
        <v>34</v>
      </c>
      <c r="C86">
        <v>65</v>
      </c>
      <c r="D86">
        <v>85</v>
      </c>
    </row>
    <row r="87" spans="1:4" x14ac:dyDescent="0.2">
      <c r="A87" s="10" t="s">
        <v>167</v>
      </c>
      <c r="B87" s="10">
        <f>VLOOKUP(przech_odp_gry_regularne[[#This Row],[Gry regularne]],gry_regularne[],2)</f>
        <v>27</v>
      </c>
      <c r="C87">
        <v>65</v>
      </c>
      <c r="D87">
        <v>86</v>
      </c>
    </row>
    <row r="88" spans="1:4" x14ac:dyDescent="0.2">
      <c r="A88" s="10" t="s">
        <v>9</v>
      </c>
      <c r="B88" s="10">
        <f>VLOOKUP(przech_odp_gry_regularne[[#This Row],[Gry regularne]],gry_regularne[],2)</f>
        <v>17</v>
      </c>
      <c r="C88">
        <v>66</v>
      </c>
      <c r="D88">
        <v>87</v>
      </c>
    </row>
    <row r="89" spans="1:4" x14ac:dyDescent="0.2">
      <c r="A89" s="10" t="s">
        <v>45</v>
      </c>
      <c r="B89" s="10">
        <f>VLOOKUP(przech_odp_gry_regularne[[#This Row],[Gry regularne]],gry_regularne[],2)</f>
        <v>12</v>
      </c>
      <c r="C89">
        <v>67</v>
      </c>
      <c r="D89">
        <v>88</v>
      </c>
    </row>
    <row r="90" spans="1:4" x14ac:dyDescent="0.2">
      <c r="A90" s="10" t="s">
        <v>4</v>
      </c>
      <c r="B90" s="10">
        <f>VLOOKUP(przech_odp_gry_regularne[[#This Row],[Gry regularne]],gry_regularne[],2)</f>
        <v>21</v>
      </c>
      <c r="C90">
        <v>68</v>
      </c>
      <c r="D90">
        <v>89</v>
      </c>
    </row>
    <row r="91" spans="1:4" x14ac:dyDescent="0.2">
      <c r="A91" s="10" t="s">
        <v>30</v>
      </c>
      <c r="B91" s="10">
        <f>VLOOKUP(przech_odp_gry_regularne[[#This Row],[Gry regularne]],gry_regularne[],2)</f>
        <v>4</v>
      </c>
      <c r="C91">
        <v>69</v>
      </c>
      <c r="D91">
        <v>90</v>
      </c>
    </row>
    <row r="92" spans="1:4" x14ac:dyDescent="0.2">
      <c r="A92" s="10" t="s">
        <v>4</v>
      </c>
      <c r="B92" s="10">
        <f>VLOOKUP(przech_odp_gry_regularne[[#This Row],[Gry regularne]],gry_regularne[],2)</f>
        <v>21</v>
      </c>
      <c r="C92">
        <v>70</v>
      </c>
      <c r="D92">
        <v>91</v>
      </c>
    </row>
    <row r="93" spans="1:4" x14ac:dyDescent="0.2">
      <c r="A93" s="10" t="s">
        <v>4</v>
      </c>
      <c r="B93" s="10">
        <f>VLOOKUP(przech_odp_gry_regularne[[#This Row],[Gry regularne]],gry_regularne[],2)</f>
        <v>21</v>
      </c>
      <c r="C93">
        <v>71</v>
      </c>
      <c r="D93">
        <v>92</v>
      </c>
    </row>
    <row r="94" spans="1:4" x14ac:dyDescent="0.2">
      <c r="A94" s="10" t="s">
        <v>28</v>
      </c>
      <c r="B94" s="10">
        <f>VLOOKUP(przech_odp_gry_regularne[[#This Row],[Gry regularne]],gry_regularne[],2)</f>
        <v>22</v>
      </c>
      <c r="C94">
        <v>72</v>
      </c>
      <c r="D94">
        <v>93</v>
      </c>
    </row>
    <row r="95" spans="1:4" x14ac:dyDescent="0.2">
      <c r="A95" s="10" t="s">
        <v>30</v>
      </c>
      <c r="B95" s="10">
        <f>VLOOKUP(przech_odp_gry_regularne[[#This Row],[Gry regularne]],gry_regularne[],2)</f>
        <v>4</v>
      </c>
      <c r="C95">
        <v>72</v>
      </c>
      <c r="D95">
        <v>94</v>
      </c>
    </row>
    <row r="96" spans="1:4" x14ac:dyDescent="0.2">
      <c r="A96" s="10" t="s">
        <v>4</v>
      </c>
      <c r="B96" s="10">
        <f>VLOOKUP(przech_odp_gry_regularne[[#This Row],[Gry regularne]],gry_regularne[],2)</f>
        <v>21</v>
      </c>
      <c r="C96">
        <v>73</v>
      </c>
      <c r="D96">
        <v>95</v>
      </c>
    </row>
    <row r="97" spans="1:4" x14ac:dyDescent="0.2">
      <c r="A97" s="10" t="s">
        <v>26</v>
      </c>
      <c r="B97" s="10">
        <f>VLOOKUP(przech_odp_gry_regularne[[#This Row],[Gry regularne]],gry_regularne[],2)</f>
        <v>14</v>
      </c>
      <c r="C97">
        <v>74</v>
      </c>
      <c r="D97">
        <v>96</v>
      </c>
    </row>
    <row r="98" spans="1:4" x14ac:dyDescent="0.2">
      <c r="A98" s="10" t="s">
        <v>52</v>
      </c>
      <c r="B98" s="10">
        <f>VLOOKUP(przech_odp_gry_regularne[[#This Row],[Gry regularne]],gry_regularne[],2)</f>
        <v>36</v>
      </c>
      <c r="C98">
        <v>74</v>
      </c>
      <c r="D98">
        <v>97</v>
      </c>
    </row>
    <row r="99" spans="1:4" x14ac:dyDescent="0.2">
      <c r="A99" s="10" t="s">
        <v>45</v>
      </c>
      <c r="B99" s="10">
        <f>VLOOKUP(przech_odp_gry_regularne[[#This Row],[Gry regularne]],gry_regularne[],2)</f>
        <v>12</v>
      </c>
      <c r="C99">
        <v>74</v>
      </c>
      <c r="D99">
        <v>98</v>
      </c>
    </row>
    <row r="100" spans="1:4" x14ac:dyDescent="0.2">
      <c r="A100" s="10" t="s">
        <v>26</v>
      </c>
      <c r="B100" s="10">
        <f>VLOOKUP(przech_odp_gry_regularne[[#This Row],[Gry regularne]],gry_regularne[],2)</f>
        <v>14</v>
      </c>
      <c r="C100">
        <v>75</v>
      </c>
      <c r="D100">
        <v>99</v>
      </c>
    </row>
    <row r="101" spans="1:4" x14ac:dyDescent="0.2">
      <c r="A101" s="10" t="s">
        <v>9</v>
      </c>
      <c r="B101" s="10">
        <f>VLOOKUP(przech_odp_gry_regularne[[#This Row],[Gry regularne]],gry_regularne[],2)</f>
        <v>17</v>
      </c>
      <c r="C101">
        <v>75</v>
      </c>
      <c r="D101">
        <v>100</v>
      </c>
    </row>
    <row r="102" spans="1:4" x14ac:dyDescent="0.2">
      <c r="A102" s="10" t="s">
        <v>30</v>
      </c>
      <c r="B102" s="10">
        <f>VLOOKUP(przech_odp_gry_regularne[[#This Row],[Gry regularne]],gry_regularne[],2)</f>
        <v>4</v>
      </c>
      <c r="C102">
        <v>75</v>
      </c>
      <c r="D102">
        <v>101</v>
      </c>
    </row>
    <row r="103" spans="1:4" x14ac:dyDescent="0.2">
      <c r="A103" s="10" t="s">
        <v>4</v>
      </c>
      <c r="B103" s="10">
        <f>VLOOKUP(przech_odp_gry_regularne[[#This Row],[Gry regularne]],gry_regularne[],2)</f>
        <v>21</v>
      </c>
      <c r="C103">
        <v>76</v>
      </c>
      <c r="D103">
        <v>102</v>
      </c>
    </row>
    <row r="104" spans="1:4" x14ac:dyDescent="0.2">
      <c r="A104" s="10" t="s">
        <v>9</v>
      </c>
      <c r="B104" s="10">
        <f>VLOOKUP(przech_odp_gry_regularne[[#This Row],[Gry regularne]],gry_regularne[],2)</f>
        <v>17</v>
      </c>
      <c r="C104">
        <v>77</v>
      </c>
      <c r="D104">
        <v>103</v>
      </c>
    </row>
    <row r="105" spans="1:4" x14ac:dyDescent="0.2">
      <c r="A105" s="10" t="s">
        <v>30</v>
      </c>
      <c r="B105" s="10">
        <f>VLOOKUP(przech_odp_gry_regularne[[#This Row],[Gry regularne]],gry_regularne[],2)</f>
        <v>4</v>
      </c>
      <c r="C105">
        <v>77</v>
      </c>
      <c r="D105">
        <v>104</v>
      </c>
    </row>
    <row r="106" spans="1:4" x14ac:dyDescent="0.2">
      <c r="A106" s="10" t="s">
        <v>28</v>
      </c>
      <c r="B106" s="10">
        <f>VLOOKUP(przech_odp_gry_regularne[[#This Row],[Gry regularne]],gry_regularne[],2)</f>
        <v>22</v>
      </c>
      <c r="C106">
        <v>78</v>
      </c>
      <c r="D106">
        <v>105</v>
      </c>
    </row>
    <row r="107" spans="1:4" x14ac:dyDescent="0.2">
      <c r="A107" s="10" t="s">
        <v>9</v>
      </c>
      <c r="B107" s="10">
        <f>VLOOKUP(przech_odp_gry_regularne[[#This Row],[Gry regularne]],gry_regularne[],2)</f>
        <v>17</v>
      </c>
      <c r="C107">
        <v>78</v>
      </c>
      <c r="D107">
        <v>106</v>
      </c>
    </row>
    <row r="108" spans="1:4" x14ac:dyDescent="0.2">
      <c r="A108" s="10" t="s">
        <v>30</v>
      </c>
      <c r="B108" s="10">
        <f>VLOOKUP(przech_odp_gry_regularne[[#This Row],[Gry regularne]],gry_regularne[],2)</f>
        <v>4</v>
      </c>
      <c r="C108">
        <v>78</v>
      </c>
      <c r="D108">
        <v>107</v>
      </c>
    </row>
    <row r="109" spans="1:4" x14ac:dyDescent="0.2">
      <c r="A109" s="10" t="s">
        <v>26</v>
      </c>
      <c r="B109" s="10">
        <f>VLOOKUP(przech_odp_gry_regularne[[#This Row],[Gry regularne]],gry_regularne[],2)</f>
        <v>14</v>
      </c>
      <c r="C109">
        <v>79</v>
      </c>
      <c r="D109">
        <v>108</v>
      </c>
    </row>
    <row r="110" spans="1:4" x14ac:dyDescent="0.2">
      <c r="A110" s="10" t="s">
        <v>26</v>
      </c>
      <c r="B110" s="10">
        <f>VLOOKUP(przech_odp_gry_regularne[[#This Row],[Gry regularne]],gry_regularne[],2)</f>
        <v>14</v>
      </c>
      <c r="C110">
        <v>80</v>
      </c>
      <c r="D110">
        <v>109</v>
      </c>
    </row>
    <row r="111" spans="1:4" x14ac:dyDescent="0.2">
      <c r="A111" s="10" t="s">
        <v>9</v>
      </c>
      <c r="B111" s="10">
        <f>VLOOKUP(przech_odp_gry_regularne[[#This Row],[Gry regularne]],gry_regularne[],2)</f>
        <v>17</v>
      </c>
      <c r="C111">
        <v>81</v>
      </c>
      <c r="D111">
        <v>110</v>
      </c>
    </row>
    <row r="112" spans="1:4" x14ac:dyDescent="0.2">
      <c r="A112" s="10" t="s">
        <v>111</v>
      </c>
      <c r="B112" s="10">
        <f>VLOOKUP(przech_odp_gry_regularne[[#This Row],[Gry regularne]],gry_regularne[],2)</f>
        <v>3</v>
      </c>
      <c r="C112">
        <v>81</v>
      </c>
      <c r="D112">
        <v>111</v>
      </c>
    </row>
    <row r="113" spans="1:4" x14ac:dyDescent="0.2">
      <c r="A113" s="10" t="s">
        <v>48</v>
      </c>
      <c r="B113" s="10">
        <f>VLOOKUP(przech_odp_gry_regularne[[#This Row],[Gry regularne]],gry_regularne[],2)</f>
        <v>9</v>
      </c>
      <c r="C113">
        <v>81</v>
      </c>
      <c r="D113">
        <v>112</v>
      </c>
    </row>
    <row r="114" spans="1:4" x14ac:dyDescent="0.2">
      <c r="A114" s="10" t="s">
        <v>184</v>
      </c>
      <c r="B114" s="10">
        <f>VLOOKUP(przech_odp_gry_regularne[[#This Row],[Gry regularne]],gry_regularne[],2)</f>
        <v>18</v>
      </c>
      <c r="C114">
        <v>81</v>
      </c>
      <c r="D114">
        <v>113</v>
      </c>
    </row>
    <row r="115" spans="1:4" x14ac:dyDescent="0.2">
      <c r="A115" s="10" t="s">
        <v>4</v>
      </c>
      <c r="B115" s="10">
        <f>VLOOKUP(przech_odp_gry_regularne[[#This Row],[Gry regularne]],gry_regularne[],2)</f>
        <v>21</v>
      </c>
      <c r="C115">
        <v>82</v>
      </c>
      <c r="D115">
        <v>114</v>
      </c>
    </row>
    <row r="116" spans="1:4" x14ac:dyDescent="0.2">
      <c r="A116" s="10" t="s">
        <v>45</v>
      </c>
      <c r="B116" s="10">
        <f>VLOOKUP(przech_odp_gry_regularne[[#This Row],[Gry regularne]],gry_regularne[],2)</f>
        <v>12</v>
      </c>
      <c r="C116">
        <v>83</v>
      </c>
      <c r="D116">
        <v>115</v>
      </c>
    </row>
    <row r="117" spans="1:4" x14ac:dyDescent="0.2">
      <c r="A117" s="10" t="s">
        <v>9</v>
      </c>
      <c r="B117" s="10">
        <f>VLOOKUP(przech_odp_gry_regularne[[#This Row],[Gry regularne]],gry_regularne[],2)</f>
        <v>17</v>
      </c>
      <c r="C117">
        <v>84</v>
      </c>
      <c r="D117">
        <v>116</v>
      </c>
    </row>
    <row r="118" spans="1:4" x14ac:dyDescent="0.2">
      <c r="A118" s="10" t="s">
        <v>30</v>
      </c>
      <c r="B118" s="10">
        <f>VLOOKUP(przech_odp_gry_regularne[[#This Row],[Gry regularne]],gry_regularne[],2)</f>
        <v>4</v>
      </c>
      <c r="C118">
        <v>84</v>
      </c>
      <c r="D118">
        <v>117</v>
      </c>
    </row>
    <row r="119" spans="1:4" x14ac:dyDescent="0.2">
      <c r="A119" s="10" t="s">
        <v>4</v>
      </c>
      <c r="B119" s="10">
        <f>VLOOKUP(przech_odp_gry_regularne[[#This Row],[Gry regularne]],gry_regularne[],2)</f>
        <v>21</v>
      </c>
      <c r="C119">
        <v>85</v>
      </c>
      <c r="D119">
        <v>118</v>
      </c>
    </row>
    <row r="120" spans="1:4" x14ac:dyDescent="0.2">
      <c r="A120" s="10" t="s">
        <v>30</v>
      </c>
      <c r="B120" s="10">
        <f>VLOOKUP(przech_odp_gry_regularne[[#This Row],[Gry regularne]],gry_regularne[],2)</f>
        <v>4</v>
      </c>
      <c r="C120">
        <v>86</v>
      </c>
      <c r="D120">
        <v>119</v>
      </c>
    </row>
    <row r="121" spans="1:4" x14ac:dyDescent="0.2">
      <c r="A121" s="10" t="s">
        <v>48</v>
      </c>
      <c r="B121" s="10">
        <f>VLOOKUP(przech_odp_gry_regularne[[#This Row],[Gry regularne]],gry_regularne[],2)</f>
        <v>9</v>
      </c>
      <c r="C121">
        <v>87</v>
      </c>
      <c r="D121">
        <v>120</v>
      </c>
    </row>
    <row r="122" spans="1:4" x14ac:dyDescent="0.2">
      <c r="A122" s="10" t="s">
        <v>4</v>
      </c>
      <c r="B122" s="10">
        <f>VLOOKUP(przech_odp_gry_regularne[[#This Row],[Gry regularne]],gry_regularne[],2)</f>
        <v>21</v>
      </c>
      <c r="C122">
        <v>88</v>
      </c>
      <c r="D122">
        <v>121</v>
      </c>
    </row>
    <row r="123" spans="1:4" x14ac:dyDescent="0.2">
      <c r="A123" s="10" t="s">
        <v>4</v>
      </c>
      <c r="B123" s="10">
        <f>VLOOKUP(przech_odp_gry_regularne[[#This Row],[Gry regularne]],gry_regularne[],2)</f>
        <v>21</v>
      </c>
      <c r="C123">
        <v>89</v>
      </c>
      <c r="D123">
        <v>122</v>
      </c>
    </row>
    <row r="124" spans="1:4" x14ac:dyDescent="0.2">
      <c r="A124" s="10" t="s">
        <v>9</v>
      </c>
      <c r="B124" s="10">
        <f>VLOOKUP(przech_odp_gry_regularne[[#This Row],[Gry regularne]],gry_regularne[],2)</f>
        <v>17</v>
      </c>
      <c r="C124">
        <v>90</v>
      </c>
      <c r="D124">
        <v>123</v>
      </c>
    </row>
    <row r="125" spans="1:4" x14ac:dyDescent="0.2">
      <c r="A125" s="10" t="s">
        <v>9</v>
      </c>
      <c r="B125" s="10">
        <f>VLOOKUP(przech_odp_gry_regularne[[#This Row],[Gry regularne]],gry_regularne[],2)</f>
        <v>17</v>
      </c>
      <c r="C125">
        <v>91</v>
      </c>
      <c r="D125">
        <v>124</v>
      </c>
    </row>
    <row r="126" spans="1:4" x14ac:dyDescent="0.2">
      <c r="A126" s="10" t="s">
        <v>168</v>
      </c>
      <c r="B126" s="10">
        <f>VLOOKUP(przech_odp_gry_regularne[[#This Row],[Gry regularne]],gry_regularne[],2)</f>
        <v>2</v>
      </c>
      <c r="C126">
        <v>92</v>
      </c>
      <c r="D126">
        <v>125</v>
      </c>
    </row>
    <row r="127" spans="1:4" x14ac:dyDescent="0.2">
      <c r="A127" s="10" t="s">
        <v>94</v>
      </c>
      <c r="B127" s="10">
        <f>VLOOKUP(przech_odp_gry_regularne[[#This Row],[Gry regularne]],gry_regularne[],2)</f>
        <v>34</v>
      </c>
      <c r="C127">
        <v>92</v>
      </c>
      <c r="D127">
        <v>126</v>
      </c>
    </row>
    <row r="128" spans="1:4" x14ac:dyDescent="0.2">
      <c r="A128" s="10" t="s">
        <v>111</v>
      </c>
      <c r="B128" s="10">
        <f>VLOOKUP(przech_odp_gry_regularne[[#This Row],[Gry regularne]],gry_regularne[],2)</f>
        <v>3</v>
      </c>
      <c r="C128">
        <v>92</v>
      </c>
      <c r="D128">
        <v>127</v>
      </c>
    </row>
    <row r="129" spans="1:4" x14ac:dyDescent="0.2">
      <c r="A129" s="10" t="s">
        <v>185</v>
      </c>
      <c r="B129" s="10">
        <f>VLOOKUP(przech_odp_gry_regularne[[#This Row],[Gry regularne]],gry_regularne[],2)</f>
        <v>19</v>
      </c>
      <c r="C129">
        <v>92</v>
      </c>
      <c r="D129">
        <v>128</v>
      </c>
    </row>
    <row r="130" spans="1:4" x14ac:dyDescent="0.2">
      <c r="A130" s="10" t="s">
        <v>30</v>
      </c>
      <c r="B130" s="10">
        <f>VLOOKUP(przech_odp_gry_regularne[[#This Row],[Gry regularne]],gry_regularne[],2)</f>
        <v>4</v>
      </c>
      <c r="C130">
        <v>93</v>
      </c>
      <c r="D130">
        <v>129</v>
      </c>
    </row>
    <row r="131" spans="1:4" x14ac:dyDescent="0.2">
      <c r="A131" s="10" t="s">
        <v>48</v>
      </c>
      <c r="B131" s="10">
        <f>VLOOKUP(przech_odp_gry_regularne[[#This Row],[Gry regularne]],gry_regularne[],2)</f>
        <v>9</v>
      </c>
      <c r="C131">
        <v>93</v>
      </c>
      <c r="D131">
        <v>130</v>
      </c>
    </row>
    <row r="132" spans="1:4" x14ac:dyDescent="0.2">
      <c r="A132" s="10" t="s">
        <v>9</v>
      </c>
      <c r="B132" s="10">
        <f>VLOOKUP(przech_odp_gry_regularne[[#This Row],[Gry regularne]],gry_regularne[],2)</f>
        <v>17</v>
      </c>
      <c r="C132">
        <v>94</v>
      </c>
      <c r="D132">
        <v>131</v>
      </c>
    </row>
    <row r="133" spans="1:4" x14ac:dyDescent="0.2">
      <c r="A133" s="10" t="s">
        <v>53</v>
      </c>
      <c r="B133" s="10">
        <f>VLOOKUP(przech_odp_gry_regularne[[#This Row],[Gry regularne]],gry_regularne[],2)</f>
        <v>16</v>
      </c>
      <c r="C133">
        <v>95</v>
      </c>
      <c r="D133">
        <v>132</v>
      </c>
    </row>
    <row r="134" spans="1:4" x14ac:dyDescent="0.2">
      <c r="A134" s="10" t="s">
        <v>4</v>
      </c>
      <c r="B134" s="10">
        <f>VLOOKUP(przech_odp_gry_regularne[[#This Row],[Gry regularne]],gry_regularne[],2)</f>
        <v>21</v>
      </c>
      <c r="C134">
        <v>96</v>
      </c>
      <c r="D134">
        <v>133</v>
      </c>
    </row>
    <row r="135" spans="1:4" x14ac:dyDescent="0.2">
      <c r="A135" s="10" t="s">
        <v>30</v>
      </c>
      <c r="B135" s="10">
        <f>VLOOKUP(przech_odp_gry_regularne[[#This Row],[Gry regularne]],gry_regularne[],2)</f>
        <v>4</v>
      </c>
      <c r="C135">
        <v>97</v>
      </c>
      <c r="D135">
        <v>134</v>
      </c>
    </row>
    <row r="136" spans="1:4" x14ac:dyDescent="0.2">
      <c r="A136" s="10" t="s">
        <v>9</v>
      </c>
      <c r="B136" s="10">
        <f>VLOOKUP(przech_odp_gry_regularne[[#This Row],[Gry regularne]],gry_regularne[],2)</f>
        <v>17</v>
      </c>
      <c r="C136">
        <v>98</v>
      </c>
      <c r="D136">
        <v>135</v>
      </c>
    </row>
    <row r="137" spans="1:4" x14ac:dyDescent="0.2">
      <c r="A137" s="10" t="s">
        <v>95</v>
      </c>
      <c r="B137" s="10">
        <f>VLOOKUP(przech_odp_gry_regularne[[#This Row],[Gry regularne]],gry_regularne[],2)</f>
        <v>32</v>
      </c>
      <c r="C137">
        <v>99</v>
      </c>
      <c r="D137">
        <v>136</v>
      </c>
    </row>
    <row r="138" spans="1:4" x14ac:dyDescent="0.2">
      <c r="A138" s="10" t="s">
        <v>4</v>
      </c>
      <c r="B138" s="10">
        <f>VLOOKUP(przech_odp_gry_regularne[[#This Row],[Gry regularne]],gry_regularne[],2)</f>
        <v>21</v>
      </c>
      <c r="C138">
        <v>100</v>
      </c>
      <c r="D138">
        <v>137</v>
      </c>
    </row>
    <row r="139" spans="1:4" x14ac:dyDescent="0.2">
      <c r="A139" s="10" t="s">
        <v>26</v>
      </c>
      <c r="B139" s="10">
        <f>VLOOKUP(przech_odp_gry_regularne[[#This Row],[Gry regularne]],gry_regularne[],2)</f>
        <v>14</v>
      </c>
      <c r="C139">
        <v>101</v>
      </c>
      <c r="D139">
        <v>138</v>
      </c>
    </row>
    <row r="140" spans="1:4" x14ac:dyDescent="0.2">
      <c r="A140" s="10" t="s">
        <v>4</v>
      </c>
      <c r="B140" s="10">
        <f>VLOOKUP(przech_odp_gry_regularne[[#This Row],[Gry regularne]],gry_regularne[],2)</f>
        <v>21</v>
      </c>
      <c r="C140">
        <v>102</v>
      </c>
      <c r="D140">
        <v>139</v>
      </c>
    </row>
    <row r="141" spans="1:4" x14ac:dyDescent="0.2">
      <c r="A141" s="10" t="s">
        <v>28</v>
      </c>
      <c r="B141" s="10">
        <f>VLOOKUP(przech_odp_gry_regularne[[#This Row],[Gry regularne]],gry_regularne[],2)</f>
        <v>22</v>
      </c>
      <c r="C141">
        <v>103</v>
      </c>
      <c r="D141">
        <v>140</v>
      </c>
    </row>
    <row r="142" spans="1:4" x14ac:dyDescent="0.2">
      <c r="A142" s="10" t="s">
        <v>26</v>
      </c>
      <c r="B142" s="10">
        <f>VLOOKUP(przech_odp_gry_regularne[[#This Row],[Gry regularne]],gry_regularne[],2)</f>
        <v>14</v>
      </c>
      <c r="C142">
        <v>103</v>
      </c>
      <c r="D142">
        <v>141</v>
      </c>
    </row>
    <row r="143" spans="1:4" x14ac:dyDescent="0.2">
      <c r="A143" s="10" t="s">
        <v>9</v>
      </c>
      <c r="B143" s="10">
        <f>VLOOKUP(przech_odp_gry_regularne[[#This Row],[Gry regularne]],gry_regularne[],2)</f>
        <v>17</v>
      </c>
      <c r="C143">
        <v>104</v>
      </c>
      <c r="D143">
        <v>142</v>
      </c>
    </row>
    <row r="144" spans="1:4" x14ac:dyDescent="0.2">
      <c r="A144" s="10" t="s">
        <v>30</v>
      </c>
      <c r="B144" s="10">
        <f>VLOOKUP(przech_odp_gry_regularne[[#This Row],[Gry regularne]],gry_regularne[],2)</f>
        <v>4</v>
      </c>
      <c r="C144">
        <v>104</v>
      </c>
      <c r="D144">
        <v>143</v>
      </c>
    </row>
    <row r="145" spans="1:4" x14ac:dyDescent="0.2">
      <c r="A145" s="10" t="s">
        <v>28</v>
      </c>
      <c r="B145" s="10">
        <f>VLOOKUP(przech_odp_gry_regularne[[#This Row],[Gry regularne]],gry_regularne[],2)</f>
        <v>22</v>
      </c>
      <c r="C145">
        <v>105</v>
      </c>
      <c r="D145">
        <v>144</v>
      </c>
    </row>
    <row r="146" spans="1:4" x14ac:dyDescent="0.2">
      <c r="A146" s="10" t="s">
        <v>50</v>
      </c>
      <c r="B146" s="10">
        <f>VLOOKUP(przech_odp_gry_regularne[[#This Row],[Gry regularne]],gry_regularne[],2)</f>
        <v>10</v>
      </c>
      <c r="C146">
        <v>106</v>
      </c>
      <c r="D146">
        <v>145</v>
      </c>
    </row>
    <row r="147" spans="1:4" x14ac:dyDescent="0.2">
      <c r="A147" s="10" t="s">
        <v>65</v>
      </c>
      <c r="B147" s="10">
        <f>VLOOKUP(przech_odp_gry_regularne[[#This Row],[Gry regularne]],gry_regularne[],2)</f>
        <v>26</v>
      </c>
      <c r="C147">
        <v>107</v>
      </c>
      <c r="D147">
        <v>146</v>
      </c>
    </row>
    <row r="148" spans="1:4" x14ac:dyDescent="0.2">
      <c r="A148" s="10" t="s">
        <v>26</v>
      </c>
      <c r="B148" s="10">
        <f>VLOOKUP(przech_odp_gry_regularne[[#This Row],[Gry regularne]],gry_regularne[],2)</f>
        <v>14</v>
      </c>
      <c r="C148">
        <v>108</v>
      </c>
      <c r="D148">
        <v>147</v>
      </c>
    </row>
    <row r="149" spans="1:4" x14ac:dyDescent="0.2">
      <c r="A149" s="10" t="s">
        <v>26</v>
      </c>
      <c r="B149" s="10">
        <f>VLOOKUP(przech_odp_gry_regularne[[#This Row],[Gry regularne]],gry_regularne[],2)</f>
        <v>14</v>
      </c>
      <c r="C149">
        <v>109</v>
      </c>
      <c r="D149">
        <v>148</v>
      </c>
    </row>
    <row r="150" spans="1:4" x14ac:dyDescent="0.2">
      <c r="A150" s="10" t="s">
        <v>9</v>
      </c>
      <c r="B150" s="10">
        <f>VLOOKUP(przech_odp_gry_regularne[[#This Row],[Gry regularne]],gry_regularne[],2)</f>
        <v>17</v>
      </c>
      <c r="C150">
        <v>109</v>
      </c>
      <c r="D150">
        <v>149</v>
      </c>
    </row>
    <row r="151" spans="1:4" x14ac:dyDescent="0.2">
      <c r="A151" s="10" t="s">
        <v>26</v>
      </c>
      <c r="B151" s="10">
        <f>VLOOKUP(przech_odp_gry_regularne[[#This Row],[Gry regularne]],gry_regularne[],2)</f>
        <v>14</v>
      </c>
      <c r="C151">
        <v>110</v>
      </c>
      <c r="D151">
        <v>150</v>
      </c>
    </row>
    <row r="152" spans="1:4" x14ac:dyDescent="0.2">
      <c r="A152" s="10" t="s">
        <v>9</v>
      </c>
      <c r="B152" s="10">
        <f>VLOOKUP(przech_odp_gry_regularne[[#This Row],[Gry regularne]],gry_regularne[],2)</f>
        <v>17</v>
      </c>
      <c r="C152">
        <v>110</v>
      </c>
      <c r="D152">
        <v>151</v>
      </c>
    </row>
    <row r="153" spans="1:4" x14ac:dyDescent="0.2">
      <c r="A153" s="10" t="s">
        <v>4</v>
      </c>
      <c r="B153" s="10">
        <f>VLOOKUP(przech_odp_gry_regularne[[#This Row],[Gry regularne]],gry_regularne[],2)</f>
        <v>21</v>
      </c>
      <c r="C153">
        <v>111</v>
      </c>
      <c r="D153">
        <v>152</v>
      </c>
    </row>
    <row r="154" spans="1:4" x14ac:dyDescent="0.2">
      <c r="A154" s="10" t="s">
        <v>26</v>
      </c>
      <c r="B154" s="10">
        <f>VLOOKUP(przech_odp_gry_regularne[[#This Row],[Gry regularne]],gry_regularne[],2)</f>
        <v>14</v>
      </c>
      <c r="C154">
        <v>112</v>
      </c>
      <c r="D154">
        <v>153</v>
      </c>
    </row>
    <row r="155" spans="1:4" x14ac:dyDescent="0.2">
      <c r="A155" s="10" t="s">
        <v>48</v>
      </c>
      <c r="B155" s="10">
        <f>VLOOKUP(przech_odp_gry_regularne[[#This Row],[Gry regularne]],gry_regularne[],2)</f>
        <v>9</v>
      </c>
      <c r="C155">
        <v>112</v>
      </c>
      <c r="D155">
        <v>154</v>
      </c>
    </row>
    <row r="156" spans="1:4" x14ac:dyDescent="0.2">
      <c r="A156" s="10" t="s">
        <v>28</v>
      </c>
      <c r="B156" s="10">
        <f>VLOOKUP(przech_odp_gry_regularne[[#This Row],[Gry regularne]],gry_regularne[],2)</f>
        <v>22</v>
      </c>
      <c r="C156">
        <v>113</v>
      </c>
      <c r="D156">
        <v>155</v>
      </c>
    </row>
    <row r="157" spans="1:4" x14ac:dyDescent="0.2">
      <c r="A157" s="10" t="s">
        <v>26</v>
      </c>
      <c r="B157" s="10">
        <f>VLOOKUP(przech_odp_gry_regularne[[#This Row],[Gry regularne]],gry_regularne[],2)</f>
        <v>14</v>
      </c>
      <c r="C157">
        <v>113</v>
      </c>
      <c r="D157">
        <v>156</v>
      </c>
    </row>
    <row r="158" spans="1:4" x14ac:dyDescent="0.2">
      <c r="A158" s="10" t="s">
        <v>30</v>
      </c>
      <c r="B158" s="10">
        <f>VLOOKUP(przech_odp_gry_regularne[[#This Row],[Gry regularne]],gry_regularne[],2)</f>
        <v>4</v>
      </c>
      <c r="C158">
        <v>114</v>
      </c>
      <c r="D158">
        <v>157</v>
      </c>
    </row>
    <row r="159" spans="1:4" x14ac:dyDescent="0.2">
      <c r="A159" s="10" t="s">
        <v>169</v>
      </c>
      <c r="B159" s="10">
        <f>VLOOKUP(przech_odp_gry_regularne[[#This Row],[Gry regularne]],gry_regularne[],2)</f>
        <v>11</v>
      </c>
      <c r="C159">
        <v>114</v>
      </c>
      <c r="D159">
        <v>158</v>
      </c>
    </row>
    <row r="160" spans="1:4" x14ac:dyDescent="0.2">
      <c r="A160" s="10" t="s">
        <v>187</v>
      </c>
      <c r="B160" s="10">
        <f>VLOOKUP(przech_odp_gry_regularne[[#This Row],[Gry regularne]],gry_regularne[],2)</f>
        <v>1</v>
      </c>
      <c r="C160">
        <v>114</v>
      </c>
      <c r="D160">
        <v>159</v>
      </c>
    </row>
    <row r="161" spans="1:4" x14ac:dyDescent="0.2">
      <c r="A161" s="10" t="s">
        <v>28</v>
      </c>
      <c r="B161" s="10">
        <f>VLOOKUP(przech_odp_gry_regularne[[#This Row],[Gry regularne]],gry_regularne[],2)</f>
        <v>22</v>
      </c>
      <c r="C161">
        <v>115</v>
      </c>
      <c r="D161">
        <v>160</v>
      </c>
    </row>
    <row r="162" spans="1:4" x14ac:dyDescent="0.2">
      <c r="A162" s="10" t="s">
        <v>26</v>
      </c>
      <c r="B162" s="10">
        <f>VLOOKUP(przech_odp_gry_regularne[[#This Row],[Gry regularne]],gry_regularne[],2)</f>
        <v>14</v>
      </c>
      <c r="C162">
        <v>115</v>
      </c>
      <c r="D162">
        <v>161</v>
      </c>
    </row>
    <row r="163" spans="1:4" x14ac:dyDescent="0.2">
      <c r="A163" s="10" t="s">
        <v>30</v>
      </c>
      <c r="B163" s="10">
        <f>VLOOKUP(przech_odp_gry_regularne[[#This Row],[Gry regularne]],gry_regularne[],2)</f>
        <v>4</v>
      </c>
      <c r="C163">
        <v>115</v>
      </c>
      <c r="D163">
        <v>162</v>
      </c>
    </row>
    <row r="164" spans="1:4" x14ac:dyDescent="0.2">
      <c r="A164" s="10" t="s">
        <v>28</v>
      </c>
      <c r="B164" s="10">
        <f>VLOOKUP(przech_odp_gry_regularne[[#This Row],[Gry regularne]],gry_regularne[],2)</f>
        <v>22</v>
      </c>
      <c r="C164">
        <v>116</v>
      </c>
      <c r="D164">
        <v>163</v>
      </c>
    </row>
    <row r="165" spans="1:4" x14ac:dyDescent="0.2">
      <c r="A165" s="10" t="s">
        <v>26</v>
      </c>
      <c r="B165" s="10">
        <f>VLOOKUP(przech_odp_gry_regularne[[#This Row],[Gry regularne]],gry_regularne[],2)</f>
        <v>14</v>
      </c>
      <c r="C165">
        <v>116</v>
      </c>
      <c r="D165">
        <v>164</v>
      </c>
    </row>
    <row r="166" spans="1:4" x14ac:dyDescent="0.2">
      <c r="A166" s="10" t="s">
        <v>33</v>
      </c>
      <c r="B166" s="10">
        <f>VLOOKUP(przech_odp_gry_regularne[[#This Row],[Gry regularne]],gry_regularne[],2)</f>
        <v>7</v>
      </c>
      <c r="C166">
        <v>116</v>
      </c>
      <c r="D166">
        <v>165</v>
      </c>
    </row>
    <row r="167" spans="1:4" x14ac:dyDescent="0.2">
      <c r="A167" s="10" t="s">
        <v>183</v>
      </c>
      <c r="B167" s="10">
        <f>VLOOKUP(przech_odp_gry_regularne[[#This Row],[Gry regularne]],gry_regularne[],2)</f>
        <v>6</v>
      </c>
      <c r="C167">
        <v>116</v>
      </c>
      <c r="D167">
        <v>166</v>
      </c>
    </row>
    <row r="168" spans="1:4" x14ac:dyDescent="0.2">
      <c r="A168" s="10" t="s">
        <v>48</v>
      </c>
      <c r="B168" s="10">
        <f>VLOOKUP(przech_odp_gry_regularne[[#This Row],[Gry regularne]],gry_regularne[],2)</f>
        <v>9</v>
      </c>
      <c r="C168">
        <v>117</v>
      </c>
      <c r="D168">
        <v>167</v>
      </c>
    </row>
    <row r="169" spans="1:4" x14ac:dyDescent="0.2">
      <c r="A169" s="10" t="s">
        <v>170</v>
      </c>
      <c r="B169" s="10">
        <f>VLOOKUP(przech_odp_gry_regularne[[#This Row],[Gry regularne]],gry_regularne[],2)</f>
        <v>31</v>
      </c>
      <c r="C169">
        <v>117</v>
      </c>
      <c r="D169">
        <v>168</v>
      </c>
    </row>
    <row r="170" spans="1:4" x14ac:dyDescent="0.2">
      <c r="A170" s="10" t="s">
        <v>30</v>
      </c>
      <c r="B170" s="10">
        <f>VLOOKUP(przech_odp_gry_regularne[[#This Row],[Gry regularne]],gry_regularne[],2)</f>
        <v>4</v>
      </c>
      <c r="C170">
        <v>118</v>
      </c>
      <c r="D170">
        <v>169</v>
      </c>
    </row>
    <row r="171" spans="1:4" x14ac:dyDescent="0.2">
      <c r="A171" s="10" t="s">
        <v>28</v>
      </c>
      <c r="B171" s="10">
        <f>VLOOKUP(przech_odp_gry_regularne[[#This Row],[Gry regularne]],gry_regularne[],2)</f>
        <v>22</v>
      </c>
      <c r="C171">
        <v>119</v>
      </c>
      <c r="D171">
        <v>170</v>
      </c>
    </row>
    <row r="172" spans="1:4" x14ac:dyDescent="0.2">
      <c r="A172" s="10" t="s">
        <v>4</v>
      </c>
      <c r="B172" s="10">
        <f>VLOOKUP(przech_odp_gry_regularne[[#This Row],[Gry regularne]],gry_regularne[],2)</f>
        <v>21</v>
      </c>
      <c r="C172">
        <v>120</v>
      </c>
      <c r="D172">
        <v>171</v>
      </c>
    </row>
    <row r="173" spans="1:4" x14ac:dyDescent="0.2">
      <c r="A173" s="10" t="s">
        <v>48</v>
      </c>
      <c r="B173" s="10">
        <f>VLOOKUP(przech_odp_gry_regularne[[#This Row],[Gry regularne]],gry_regularne[],2)</f>
        <v>9</v>
      </c>
      <c r="C173">
        <v>121</v>
      </c>
      <c r="D173">
        <v>172</v>
      </c>
    </row>
    <row r="174" spans="1:4" x14ac:dyDescent="0.2">
      <c r="A174" s="10" t="s">
        <v>171</v>
      </c>
      <c r="B174" s="10">
        <f>VLOOKUP(przech_odp_gry_regularne[[#This Row],[Gry regularne]],gry_regularne[],2)</f>
        <v>8</v>
      </c>
      <c r="C174">
        <v>121</v>
      </c>
      <c r="D174">
        <v>173</v>
      </c>
    </row>
    <row r="175" spans="1:4" x14ac:dyDescent="0.2">
      <c r="A175" s="10" t="s">
        <v>172</v>
      </c>
      <c r="B175" s="10">
        <f>VLOOKUP(przech_odp_gry_regularne[[#This Row],[Gry regularne]],gry_regularne[],2)</f>
        <v>20</v>
      </c>
      <c r="C175">
        <v>121</v>
      </c>
      <c r="D175">
        <v>174</v>
      </c>
    </row>
    <row r="176" spans="1:4" x14ac:dyDescent="0.2">
      <c r="A176" s="10" t="s">
        <v>53</v>
      </c>
      <c r="B176" s="10">
        <f>VLOOKUP(przech_odp_gry_regularne[[#This Row],[Gry regularne]],gry_regularne[],2)</f>
        <v>16</v>
      </c>
      <c r="C176">
        <v>122</v>
      </c>
      <c r="D176">
        <v>175</v>
      </c>
    </row>
    <row r="177" spans="1:4" x14ac:dyDescent="0.2">
      <c r="A177" s="10" t="s">
        <v>9</v>
      </c>
      <c r="B177" s="10">
        <f>VLOOKUP(przech_odp_gry_regularne[[#This Row],[Gry regularne]],gry_regularne[],2)</f>
        <v>17</v>
      </c>
      <c r="C177">
        <v>123</v>
      </c>
      <c r="D177">
        <v>176</v>
      </c>
    </row>
    <row r="178" spans="1:4" x14ac:dyDescent="0.2">
      <c r="A178" s="10" t="s">
        <v>81</v>
      </c>
      <c r="B178" s="10">
        <f>VLOOKUP(przech_odp_gry_regularne[[#This Row],[Gry regularne]],gry_regularne[],2)</f>
        <v>23</v>
      </c>
      <c r="C178">
        <v>124</v>
      </c>
      <c r="D178">
        <v>177</v>
      </c>
    </row>
    <row r="179" spans="1:4" x14ac:dyDescent="0.2">
      <c r="A179" s="10" t="s">
        <v>4</v>
      </c>
      <c r="B179" s="10">
        <f>VLOOKUP(przech_odp_gry_regularne[[#This Row],[Gry regularne]],gry_regularne[],2)</f>
        <v>21</v>
      </c>
      <c r="C179">
        <v>125</v>
      </c>
      <c r="D179">
        <v>178</v>
      </c>
    </row>
    <row r="180" spans="1:4" x14ac:dyDescent="0.2">
      <c r="A180" s="10" t="s">
        <v>26</v>
      </c>
      <c r="B180" s="10">
        <f>VLOOKUP(przech_odp_gry_regularne[[#This Row],[Gry regularne]],gry_regularne[],2)</f>
        <v>14</v>
      </c>
      <c r="C180">
        <v>126</v>
      </c>
      <c r="D180">
        <v>179</v>
      </c>
    </row>
    <row r="181" spans="1:4" x14ac:dyDescent="0.2">
      <c r="A181" s="10" t="s">
        <v>9</v>
      </c>
      <c r="B181" s="10">
        <f>VLOOKUP(przech_odp_gry_regularne[[#This Row],[Gry regularne]],gry_regularne[],2)</f>
        <v>17</v>
      </c>
      <c r="C181">
        <v>126</v>
      </c>
      <c r="D181">
        <v>180</v>
      </c>
    </row>
    <row r="182" spans="1:4" x14ac:dyDescent="0.2">
      <c r="A182" s="10" t="s">
        <v>30</v>
      </c>
      <c r="B182" s="10">
        <f>VLOOKUP(przech_odp_gry_regularne[[#This Row],[Gry regularne]],gry_regularne[],2)</f>
        <v>4</v>
      </c>
      <c r="C182">
        <v>126</v>
      </c>
      <c r="D182">
        <v>181</v>
      </c>
    </row>
    <row r="183" spans="1:4" x14ac:dyDescent="0.2">
      <c r="A183" s="10" t="s">
        <v>111</v>
      </c>
      <c r="B183" s="10">
        <f>VLOOKUP(przech_odp_gry_regularne[[#This Row],[Gry regularne]],gry_regularne[],2)</f>
        <v>3</v>
      </c>
      <c r="C183">
        <v>126</v>
      </c>
      <c r="D183">
        <v>182</v>
      </c>
    </row>
    <row r="184" spans="1:4" x14ac:dyDescent="0.2">
      <c r="A184" s="10" t="s">
        <v>168</v>
      </c>
      <c r="B184" s="10">
        <f>VLOOKUP(przech_odp_gry_regularne[[#This Row],[Gry regularne]],gry_regularne[],2)</f>
        <v>2</v>
      </c>
      <c r="C184">
        <v>126</v>
      </c>
      <c r="D184">
        <v>183</v>
      </c>
    </row>
    <row r="185" spans="1:4" x14ac:dyDescent="0.2">
      <c r="A185" s="10" t="s">
        <v>48</v>
      </c>
      <c r="B185" s="10">
        <f>VLOOKUP(przech_odp_gry_regularne[[#This Row],[Gry regularne]],gry_regularne[],2)</f>
        <v>9</v>
      </c>
      <c r="C185">
        <v>126</v>
      </c>
      <c r="D185">
        <v>184</v>
      </c>
    </row>
    <row r="186" spans="1:4" x14ac:dyDescent="0.2">
      <c r="A186" s="10" t="s">
        <v>9</v>
      </c>
      <c r="B186" s="10">
        <f>VLOOKUP(przech_odp_gry_regularne[[#This Row],[Gry regularne]],gry_regularne[],2)</f>
        <v>17</v>
      </c>
      <c r="C186">
        <v>127</v>
      </c>
      <c r="D186">
        <v>185</v>
      </c>
    </row>
    <row r="187" spans="1:4" x14ac:dyDescent="0.2">
      <c r="A187" s="10" t="s">
        <v>30</v>
      </c>
      <c r="B187" s="10">
        <f>VLOOKUP(przech_odp_gry_regularne[[#This Row],[Gry regularne]],gry_regularne[],2)</f>
        <v>4</v>
      </c>
      <c r="C187">
        <v>128</v>
      </c>
      <c r="D187">
        <v>186</v>
      </c>
    </row>
    <row r="188" spans="1:4" x14ac:dyDescent="0.2">
      <c r="A188" s="10" t="s">
        <v>118</v>
      </c>
      <c r="B188" s="10">
        <f>VLOOKUP(przech_odp_gry_regularne[[#This Row],[Gry regularne]],gry_regularne[],2)</f>
        <v>13</v>
      </c>
      <c r="C188">
        <v>128</v>
      </c>
      <c r="D188">
        <v>187</v>
      </c>
    </row>
    <row r="189" spans="1:4" x14ac:dyDescent="0.2">
      <c r="A189" s="10" t="s">
        <v>28</v>
      </c>
      <c r="B189" s="10">
        <f>VLOOKUP(przech_odp_gry_regularne[[#This Row],[Gry regularne]],gry_regularne[],2)</f>
        <v>22</v>
      </c>
      <c r="C189">
        <v>129</v>
      </c>
      <c r="D189">
        <v>188</v>
      </c>
    </row>
    <row r="190" spans="1:4" x14ac:dyDescent="0.2">
      <c r="A190" s="10" t="s">
        <v>26</v>
      </c>
      <c r="B190" s="10">
        <f>VLOOKUP(przech_odp_gry_regularne[[#This Row],[Gry regularne]],gry_regularne[],2)</f>
        <v>14</v>
      </c>
      <c r="C190">
        <v>129</v>
      </c>
      <c r="D190">
        <v>189</v>
      </c>
    </row>
    <row r="191" spans="1:4" x14ac:dyDescent="0.2">
      <c r="A191" s="10" t="s">
        <v>173</v>
      </c>
      <c r="B191" s="10">
        <f>VLOOKUP(przech_odp_gry_regularne[[#This Row],[Gry regularne]],gry_regularne[],2)</f>
        <v>29</v>
      </c>
      <c r="C191">
        <v>129</v>
      </c>
      <c r="D191">
        <v>190</v>
      </c>
    </row>
    <row r="192" spans="1:4" x14ac:dyDescent="0.2">
      <c r="A192" s="10" t="s">
        <v>9</v>
      </c>
      <c r="B192" s="10">
        <f>VLOOKUP(przech_odp_gry_regularne[[#This Row],[Gry regularne]],gry_regularne[],2)</f>
        <v>17</v>
      </c>
      <c r="C192">
        <v>130</v>
      </c>
      <c r="D192">
        <v>191</v>
      </c>
    </row>
    <row r="193" spans="1:4" x14ac:dyDescent="0.2">
      <c r="A193" s="10" t="s">
        <v>26</v>
      </c>
      <c r="B193" s="10">
        <f>VLOOKUP(przech_odp_gry_regularne[[#This Row],[Gry regularne]],gry_regularne[],2)</f>
        <v>14</v>
      </c>
      <c r="C193">
        <v>131</v>
      </c>
      <c r="D193">
        <v>192</v>
      </c>
    </row>
    <row r="194" spans="1:4" x14ac:dyDescent="0.2">
      <c r="A194" s="10" t="s">
        <v>9</v>
      </c>
      <c r="B194" s="10">
        <f>VLOOKUP(przech_odp_gry_regularne[[#This Row],[Gry regularne]],gry_regularne[],2)</f>
        <v>17</v>
      </c>
      <c r="C194">
        <v>131</v>
      </c>
      <c r="D194">
        <v>193</v>
      </c>
    </row>
    <row r="195" spans="1:4" x14ac:dyDescent="0.2">
      <c r="A195" s="10" t="s">
        <v>30</v>
      </c>
      <c r="B195" s="10">
        <f>VLOOKUP(przech_odp_gry_regularne[[#This Row],[Gry regularne]],gry_regularne[],2)</f>
        <v>4</v>
      </c>
      <c r="C195">
        <v>131</v>
      </c>
      <c r="D195">
        <v>194</v>
      </c>
    </row>
    <row r="196" spans="1:4" x14ac:dyDescent="0.2">
      <c r="A196" s="10" t="s">
        <v>28</v>
      </c>
      <c r="B196" s="10">
        <f>VLOOKUP(przech_odp_gry_regularne[[#This Row],[Gry regularne]],gry_regularne[],2)</f>
        <v>22</v>
      </c>
      <c r="C196">
        <v>132</v>
      </c>
      <c r="D196">
        <v>195</v>
      </c>
    </row>
    <row r="197" spans="1:4" x14ac:dyDescent="0.2">
      <c r="A197" s="10" t="s">
        <v>26</v>
      </c>
      <c r="B197" s="10">
        <f>VLOOKUP(przech_odp_gry_regularne[[#This Row],[Gry regularne]],gry_regularne[],2)</f>
        <v>14</v>
      </c>
      <c r="C197">
        <v>133</v>
      </c>
      <c r="D197">
        <v>196</v>
      </c>
    </row>
    <row r="198" spans="1:4" x14ac:dyDescent="0.2">
      <c r="A198" s="10" t="s">
        <v>9</v>
      </c>
      <c r="B198" s="10">
        <f>VLOOKUP(przech_odp_gry_regularne[[#This Row],[Gry regularne]],gry_regularne[],2)</f>
        <v>17</v>
      </c>
      <c r="C198">
        <v>133</v>
      </c>
      <c r="D198">
        <v>197</v>
      </c>
    </row>
    <row r="199" spans="1:4" x14ac:dyDescent="0.2">
      <c r="A199" s="10" t="s">
        <v>26</v>
      </c>
      <c r="B199" s="10">
        <f>VLOOKUP(przech_odp_gry_regularne[[#This Row],[Gry regularne]],gry_regularne[],2)</f>
        <v>14</v>
      </c>
      <c r="C199">
        <v>134</v>
      </c>
      <c r="D199">
        <v>198</v>
      </c>
    </row>
    <row r="200" spans="1:4" x14ac:dyDescent="0.2">
      <c r="A200" s="10" t="s">
        <v>30</v>
      </c>
      <c r="B200" s="10">
        <f>VLOOKUP(przech_odp_gry_regularne[[#This Row],[Gry regularne]],gry_regularne[],2)</f>
        <v>4</v>
      </c>
      <c r="C200">
        <v>135</v>
      </c>
      <c r="D200">
        <v>199</v>
      </c>
    </row>
    <row r="201" spans="1:4" x14ac:dyDescent="0.2">
      <c r="A201" s="10" t="s">
        <v>4</v>
      </c>
      <c r="B201" s="10">
        <f>VLOOKUP(przech_odp_gry_regularne[[#This Row],[Gry regularne]],gry_regularne[],2)</f>
        <v>21</v>
      </c>
      <c r="C201">
        <v>136</v>
      </c>
      <c r="D201">
        <v>200</v>
      </c>
    </row>
    <row r="202" spans="1:4" x14ac:dyDescent="0.2">
      <c r="A202" s="10" t="s">
        <v>9</v>
      </c>
      <c r="B202" s="10">
        <f>VLOOKUP(przech_odp_gry_regularne[[#This Row],[Gry regularne]],gry_regularne[],2)</f>
        <v>17</v>
      </c>
      <c r="C202">
        <v>137</v>
      </c>
      <c r="D202">
        <v>201</v>
      </c>
    </row>
    <row r="203" spans="1:4" x14ac:dyDescent="0.2">
      <c r="A203" s="10" t="s">
        <v>30</v>
      </c>
      <c r="B203" s="10">
        <f>VLOOKUP(przech_odp_gry_regularne[[#This Row],[Gry regularne]],gry_regularne[],2)</f>
        <v>4</v>
      </c>
      <c r="C203">
        <v>137</v>
      </c>
      <c r="D203">
        <v>202</v>
      </c>
    </row>
    <row r="204" spans="1:4" x14ac:dyDescent="0.2">
      <c r="A204" s="10" t="s">
        <v>30</v>
      </c>
      <c r="B204" s="10">
        <f>VLOOKUP(przech_odp_gry_regularne[[#This Row],[Gry regularne]],gry_regularne[],2)</f>
        <v>4</v>
      </c>
      <c r="C204">
        <v>138</v>
      </c>
      <c r="D204">
        <v>203</v>
      </c>
    </row>
    <row r="205" spans="1:4" x14ac:dyDescent="0.2">
      <c r="A205" s="10" t="s">
        <v>28</v>
      </c>
      <c r="B205" s="10">
        <f>VLOOKUP(przech_odp_gry_regularne[[#This Row],[Gry regularne]],gry_regularne[],2)</f>
        <v>22</v>
      </c>
      <c r="C205">
        <v>139</v>
      </c>
      <c r="D205">
        <v>204</v>
      </c>
    </row>
    <row r="206" spans="1:4" x14ac:dyDescent="0.2">
      <c r="A206" s="10" t="s">
        <v>26</v>
      </c>
      <c r="B206" s="10">
        <f>VLOOKUP(przech_odp_gry_regularne[[#This Row],[Gry regularne]],gry_regularne[],2)</f>
        <v>14</v>
      </c>
      <c r="C206">
        <v>139</v>
      </c>
      <c r="D206">
        <v>205</v>
      </c>
    </row>
    <row r="207" spans="1:4" x14ac:dyDescent="0.2">
      <c r="A207" s="10" t="s">
        <v>9</v>
      </c>
      <c r="B207" s="10">
        <f>VLOOKUP(przech_odp_gry_regularne[[#This Row],[Gry regularne]],gry_regularne[],2)</f>
        <v>17</v>
      </c>
      <c r="C207">
        <v>139</v>
      </c>
      <c r="D207">
        <v>206</v>
      </c>
    </row>
    <row r="208" spans="1:4" x14ac:dyDescent="0.2">
      <c r="A208" s="10" t="s">
        <v>4</v>
      </c>
      <c r="B208" s="10">
        <f>VLOOKUP(przech_odp_gry_regularne[[#This Row],[Gry regularne]],gry_regularne[],2)</f>
        <v>21</v>
      </c>
      <c r="C208">
        <v>140</v>
      </c>
      <c r="D208">
        <v>207</v>
      </c>
    </row>
    <row r="209" spans="1:4" x14ac:dyDescent="0.2">
      <c r="A209" s="10" t="s">
        <v>9</v>
      </c>
      <c r="B209" s="10">
        <f>VLOOKUP(przech_odp_gry_regularne[[#This Row],[Gry regularne]],gry_regularne[],2)</f>
        <v>17</v>
      </c>
      <c r="C209">
        <v>141</v>
      </c>
      <c r="D209">
        <v>208</v>
      </c>
    </row>
    <row r="210" spans="1:4" x14ac:dyDescent="0.2">
      <c r="A210" s="10" t="s">
        <v>30</v>
      </c>
      <c r="B210" s="10">
        <f>VLOOKUP(przech_odp_gry_regularne[[#This Row],[Gry regularne]],gry_regularne[],2)</f>
        <v>4</v>
      </c>
      <c r="C210">
        <v>142</v>
      </c>
      <c r="D210">
        <v>209</v>
      </c>
    </row>
    <row r="211" spans="1:4" x14ac:dyDescent="0.2">
      <c r="A211" s="10" t="s">
        <v>65</v>
      </c>
      <c r="B211" s="10">
        <f>VLOOKUP(przech_odp_gry_regularne[[#This Row],[Gry regularne]],gry_regularne[],2)</f>
        <v>26</v>
      </c>
      <c r="C211">
        <v>142</v>
      </c>
      <c r="D211">
        <v>210</v>
      </c>
    </row>
    <row r="212" spans="1:4" x14ac:dyDescent="0.2">
      <c r="A212" s="10" t="s">
        <v>65</v>
      </c>
      <c r="B212" s="10">
        <f>VLOOKUP(przech_odp_gry_regularne[[#This Row],[Gry regularne]],gry_regularne[],2)</f>
        <v>26</v>
      </c>
      <c r="C212">
        <v>143</v>
      </c>
      <c r="D212">
        <v>211</v>
      </c>
    </row>
    <row r="213" spans="1:4" x14ac:dyDescent="0.2">
      <c r="A213" s="10" t="s">
        <v>170</v>
      </c>
      <c r="B213" s="10">
        <f>VLOOKUP(przech_odp_gry_regularne[[#This Row],[Gry regularne]],gry_regularne[],2)</f>
        <v>31</v>
      </c>
      <c r="C213">
        <v>143</v>
      </c>
      <c r="D213">
        <v>212</v>
      </c>
    </row>
    <row r="214" spans="1:4" x14ac:dyDescent="0.2">
      <c r="A214" s="10" t="s">
        <v>26</v>
      </c>
      <c r="B214" s="10">
        <f>VLOOKUP(przech_odp_gry_regularne[[#This Row],[Gry regularne]],gry_regularne[],2)</f>
        <v>14</v>
      </c>
      <c r="C214">
        <v>144</v>
      </c>
      <c r="D214">
        <v>213</v>
      </c>
    </row>
    <row r="215" spans="1:4" x14ac:dyDescent="0.2">
      <c r="A215" s="10" t="s">
        <v>4</v>
      </c>
      <c r="B215" s="10">
        <f>VLOOKUP(przech_odp_gry_regularne[[#This Row],[Gry regularne]],gry_regularne[],2)</f>
        <v>21</v>
      </c>
      <c r="C215">
        <v>145</v>
      </c>
      <c r="D215">
        <v>214</v>
      </c>
    </row>
    <row r="216" spans="1:4" x14ac:dyDescent="0.2">
      <c r="A216" s="10" t="s">
        <v>26</v>
      </c>
      <c r="B216" s="10">
        <f>VLOOKUP(przech_odp_gry_regularne[[#This Row],[Gry regularne]],gry_regularne[],2)</f>
        <v>14</v>
      </c>
      <c r="C216">
        <v>146</v>
      </c>
      <c r="D216">
        <v>215</v>
      </c>
    </row>
    <row r="217" spans="1:4" x14ac:dyDescent="0.2">
      <c r="A217" s="10" t="s">
        <v>33</v>
      </c>
      <c r="B217" s="10">
        <f>VLOOKUP(przech_odp_gry_regularne[[#This Row],[Gry regularne]],gry_regularne[],2)</f>
        <v>7</v>
      </c>
      <c r="C217">
        <v>146</v>
      </c>
      <c r="D217">
        <v>216</v>
      </c>
    </row>
    <row r="218" spans="1:4" x14ac:dyDescent="0.2">
      <c r="A218" s="10" t="s">
        <v>4</v>
      </c>
      <c r="B218" s="10">
        <f>VLOOKUP(przech_odp_gry_regularne[[#This Row],[Gry regularne]],gry_regularne[],2)</f>
        <v>21</v>
      </c>
      <c r="C218">
        <v>147</v>
      </c>
      <c r="D218">
        <v>217</v>
      </c>
    </row>
    <row r="219" spans="1:4" x14ac:dyDescent="0.2">
      <c r="A219" s="10" t="s">
        <v>28</v>
      </c>
      <c r="B219" s="10">
        <f>VLOOKUP(przech_odp_gry_regularne[[#This Row],[Gry regularne]],gry_regularne[],2)</f>
        <v>22</v>
      </c>
      <c r="C219">
        <v>148</v>
      </c>
      <c r="D219">
        <v>218</v>
      </c>
    </row>
    <row r="220" spans="1:4" x14ac:dyDescent="0.2">
      <c r="A220" s="10" t="s">
        <v>111</v>
      </c>
      <c r="B220" s="10">
        <f>VLOOKUP(przech_odp_gry_regularne[[#This Row],[Gry regularne]],gry_regularne[],2)</f>
        <v>3</v>
      </c>
      <c r="C220">
        <v>149</v>
      </c>
      <c r="D220">
        <v>219</v>
      </c>
    </row>
    <row r="221" spans="1:4" x14ac:dyDescent="0.2">
      <c r="A221" s="10" t="s">
        <v>4</v>
      </c>
      <c r="B221" s="10">
        <f>VLOOKUP(przech_odp_gry_regularne[[#This Row],[Gry regularne]],gry_regularne[],2)</f>
        <v>21</v>
      </c>
      <c r="C221">
        <v>150</v>
      </c>
      <c r="D221">
        <v>220</v>
      </c>
    </row>
    <row r="222" spans="1:4" x14ac:dyDescent="0.2">
      <c r="A222" s="10" t="s">
        <v>26</v>
      </c>
      <c r="B222" s="10">
        <f>VLOOKUP(przech_odp_gry_regularne[[#This Row],[Gry regularne]],gry_regularne[],2)</f>
        <v>14</v>
      </c>
      <c r="C222">
        <v>151</v>
      </c>
      <c r="D222">
        <v>221</v>
      </c>
    </row>
    <row r="223" spans="1:4" x14ac:dyDescent="0.2">
      <c r="A223" s="10" t="s">
        <v>33</v>
      </c>
      <c r="B223" s="10">
        <f>VLOOKUP(przech_odp_gry_regularne[[#This Row],[Gry regularne]],gry_regularne[],2)</f>
        <v>7</v>
      </c>
      <c r="C223">
        <v>152</v>
      </c>
      <c r="D223">
        <v>222</v>
      </c>
    </row>
    <row r="224" spans="1:4" x14ac:dyDescent="0.2">
      <c r="A224" s="10" t="s">
        <v>28</v>
      </c>
      <c r="B224" s="10">
        <f>VLOOKUP(przech_odp_gry_regularne[[#This Row],[Gry regularne]],gry_regularne[],2)</f>
        <v>22</v>
      </c>
      <c r="C224">
        <v>153</v>
      </c>
      <c r="D224">
        <v>223</v>
      </c>
    </row>
    <row r="225" spans="1:4" x14ac:dyDescent="0.2">
      <c r="A225" s="10" t="s">
        <v>4</v>
      </c>
      <c r="B225" s="10">
        <f>VLOOKUP(przech_odp_gry_regularne[[#This Row],[Gry regularne]],gry_regularne[],2)</f>
        <v>21</v>
      </c>
      <c r="C225">
        <v>154</v>
      </c>
      <c r="D225">
        <v>224</v>
      </c>
    </row>
    <row r="226" spans="1:4" x14ac:dyDescent="0.2">
      <c r="A226" s="10" t="s">
        <v>9</v>
      </c>
      <c r="B226" s="10">
        <f>VLOOKUP(przech_odp_gry_regularne[[#This Row],[Gry regularne]],gry_regularne[],2)</f>
        <v>17</v>
      </c>
      <c r="C226">
        <v>155</v>
      </c>
      <c r="D226">
        <v>225</v>
      </c>
    </row>
    <row r="227" spans="1:4" x14ac:dyDescent="0.2">
      <c r="A227" s="10" t="s">
        <v>26</v>
      </c>
      <c r="B227" s="10">
        <f>VLOOKUP(przech_odp_gry_regularne[[#This Row],[Gry regularne]],gry_regularne[],2)</f>
        <v>14</v>
      </c>
      <c r="C227">
        <v>156</v>
      </c>
      <c r="D227">
        <v>226</v>
      </c>
    </row>
    <row r="228" spans="1:4" x14ac:dyDescent="0.2">
      <c r="A228" s="10" t="s">
        <v>30</v>
      </c>
      <c r="B228" s="10">
        <f>VLOOKUP(przech_odp_gry_regularne[[#This Row],[Gry regularne]],gry_regularne[],2)</f>
        <v>4</v>
      </c>
      <c r="C228">
        <v>156</v>
      </c>
      <c r="D228">
        <v>227</v>
      </c>
    </row>
    <row r="229" spans="1:4" x14ac:dyDescent="0.2">
      <c r="A229" s="10" t="s">
        <v>4</v>
      </c>
      <c r="B229" s="10">
        <f>VLOOKUP(przech_odp_gry_regularne[[#This Row],[Gry regularne]],gry_regularne[],2)</f>
        <v>21</v>
      </c>
      <c r="C229">
        <v>157</v>
      </c>
      <c r="D229">
        <v>228</v>
      </c>
    </row>
    <row r="230" spans="1:4" x14ac:dyDescent="0.2">
      <c r="A230" s="10" t="s">
        <v>4</v>
      </c>
      <c r="B230" s="10">
        <f>VLOOKUP(przech_odp_gry_regularne[[#This Row],[Gry regularne]],gry_regularne[],2)</f>
        <v>21</v>
      </c>
      <c r="C230">
        <v>158</v>
      </c>
      <c r="D230">
        <v>229</v>
      </c>
    </row>
    <row r="231" spans="1:4" x14ac:dyDescent="0.2">
      <c r="A231" s="10" t="s">
        <v>26</v>
      </c>
      <c r="B231" s="10">
        <f>VLOOKUP(przech_odp_gry_regularne[[#This Row],[Gry regularne]],gry_regularne[],2)</f>
        <v>14</v>
      </c>
      <c r="C231">
        <v>159</v>
      </c>
      <c r="D231">
        <v>230</v>
      </c>
    </row>
    <row r="232" spans="1:4" x14ac:dyDescent="0.2">
      <c r="A232" s="10" t="s">
        <v>9</v>
      </c>
      <c r="B232" s="10">
        <f>VLOOKUP(przech_odp_gry_regularne[[#This Row],[Gry regularne]],gry_regularne[],2)</f>
        <v>17</v>
      </c>
      <c r="C232">
        <v>159</v>
      </c>
      <c r="D232">
        <v>231</v>
      </c>
    </row>
    <row r="233" spans="1:4" x14ac:dyDescent="0.2">
      <c r="A233" s="10" t="s">
        <v>4</v>
      </c>
      <c r="B233" s="10">
        <f>VLOOKUP(przech_odp_gry_regularne[[#This Row],[Gry regularne]],gry_regularne[],2)</f>
        <v>21</v>
      </c>
      <c r="C233">
        <v>160</v>
      </c>
      <c r="D233">
        <v>232</v>
      </c>
    </row>
    <row r="234" spans="1:4" x14ac:dyDescent="0.2">
      <c r="A234" s="10" t="s">
        <v>4</v>
      </c>
      <c r="B234" s="10">
        <f>VLOOKUP(przech_odp_gry_regularne[[#This Row],[Gry regularne]],gry_regularne[],2)</f>
        <v>21</v>
      </c>
      <c r="C234">
        <v>161</v>
      </c>
      <c r="D234">
        <v>233</v>
      </c>
    </row>
    <row r="235" spans="1:4" x14ac:dyDescent="0.2">
      <c r="A235" s="10" t="s">
        <v>9</v>
      </c>
      <c r="B235" s="10">
        <f>VLOOKUP(przech_odp_gry_regularne[[#This Row],[Gry regularne]],gry_regularne[],2)</f>
        <v>17</v>
      </c>
      <c r="C235">
        <v>162</v>
      </c>
      <c r="D235">
        <v>234</v>
      </c>
    </row>
    <row r="236" spans="1:4" x14ac:dyDescent="0.2">
      <c r="A236" s="10" t="s">
        <v>26</v>
      </c>
      <c r="B236" s="10">
        <f>VLOOKUP(przech_odp_gry_regularne[[#This Row],[Gry regularne]],gry_regularne[],2)</f>
        <v>14</v>
      </c>
      <c r="C236">
        <v>163</v>
      </c>
      <c r="D236">
        <v>235</v>
      </c>
    </row>
    <row r="237" spans="1:4" x14ac:dyDescent="0.2">
      <c r="A237" s="10" t="s">
        <v>4</v>
      </c>
      <c r="B237" s="10">
        <f>VLOOKUP(przech_odp_gry_regularne[[#This Row],[Gry regularne]],gry_regularne[],2)</f>
        <v>21</v>
      </c>
      <c r="C237">
        <v>164</v>
      </c>
      <c r="D237">
        <v>236</v>
      </c>
    </row>
    <row r="238" spans="1:4" x14ac:dyDescent="0.2">
      <c r="A238" s="10" t="s">
        <v>9</v>
      </c>
      <c r="B238" s="10">
        <f>VLOOKUP(przech_odp_gry_regularne[[#This Row],[Gry regularne]],gry_regularne[],2)</f>
        <v>17</v>
      </c>
      <c r="C238">
        <v>165</v>
      </c>
      <c r="D238">
        <v>237</v>
      </c>
    </row>
    <row r="239" spans="1:4" x14ac:dyDescent="0.2">
      <c r="A239" s="10" t="s">
        <v>30</v>
      </c>
      <c r="B239" s="10">
        <f>VLOOKUP(przech_odp_gry_regularne[[#This Row],[Gry regularne]],gry_regularne[],2)</f>
        <v>4</v>
      </c>
      <c r="C239">
        <v>166</v>
      </c>
      <c r="D239">
        <v>238</v>
      </c>
    </row>
    <row r="240" spans="1:4" x14ac:dyDescent="0.2">
      <c r="A240" s="10" t="s">
        <v>26</v>
      </c>
      <c r="B240" s="10">
        <f>VLOOKUP(przech_odp_gry_regularne[[#This Row],[Gry regularne]],gry_regularne[],2)</f>
        <v>14</v>
      </c>
      <c r="C240">
        <v>167</v>
      </c>
      <c r="D240">
        <v>239</v>
      </c>
    </row>
    <row r="241" spans="1:4" x14ac:dyDescent="0.2">
      <c r="A241" s="10" t="s">
        <v>30</v>
      </c>
      <c r="B241" s="10">
        <f>VLOOKUP(przech_odp_gry_regularne[[#This Row],[Gry regularne]],gry_regularne[],2)</f>
        <v>4</v>
      </c>
      <c r="C241">
        <v>167</v>
      </c>
      <c r="D241">
        <v>240</v>
      </c>
    </row>
    <row r="242" spans="1:4" x14ac:dyDescent="0.2">
      <c r="A242" s="10" t="s">
        <v>4</v>
      </c>
      <c r="B242" s="10">
        <f>VLOOKUP(przech_odp_gry_regularne[[#This Row],[Gry regularne]],gry_regularne[],2)</f>
        <v>21</v>
      </c>
      <c r="C242">
        <v>168</v>
      </c>
      <c r="D242">
        <v>241</v>
      </c>
    </row>
    <row r="243" spans="1:4" x14ac:dyDescent="0.2">
      <c r="A243" s="10" t="s">
        <v>26</v>
      </c>
      <c r="B243" s="10">
        <f>VLOOKUP(przech_odp_gry_regularne[[#This Row],[Gry regularne]],gry_regularne[],2)</f>
        <v>14</v>
      </c>
      <c r="C243">
        <v>169</v>
      </c>
      <c r="D243">
        <v>242</v>
      </c>
    </row>
    <row r="244" spans="1:4" x14ac:dyDescent="0.2">
      <c r="A244" s="10" t="s">
        <v>168</v>
      </c>
      <c r="B244" s="10">
        <f>VLOOKUP(przech_odp_gry_regularne[[#This Row],[Gry regularne]],gry_regularne[],2)</f>
        <v>2</v>
      </c>
      <c r="C244">
        <v>169</v>
      </c>
      <c r="D244">
        <v>243</v>
      </c>
    </row>
    <row r="245" spans="1:4" x14ac:dyDescent="0.2">
      <c r="A245" s="10" t="s">
        <v>28</v>
      </c>
      <c r="B245" s="10">
        <f>VLOOKUP(przech_odp_gry_regularne[[#This Row],[Gry regularne]],gry_regularne[],2)</f>
        <v>22</v>
      </c>
      <c r="C245">
        <v>170</v>
      </c>
      <c r="D245">
        <v>244</v>
      </c>
    </row>
    <row r="246" spans="1:4" x14ac:dyDescent="0.2">
      <c r="A246" s="10" t="s">
        <v>26</v>
      </c>
      <c r="B246" s="10">
        <f>VLOOKUP(przech_odp_gry_regularne[[#This Row],[Gry regularne]],gry_regularne[],2)</f>
        <v>14</v>
      </c>
      <c r="C246">
        <v>170</v>
      </c>
      <c r="D246">
        <v>245</v>
      </c>
    </row>
    <row r="247" spans="1:4" x14ac:dyDescent="0.2">
      <c r="A247" s="10" t="s">
        <v>53</v>
      </c>
      <c r="B247" s="10">
        <f>VLOOKUP(przech_odp_gry_regularne[[#This Row],[Gry regularne]],gry_regularne[],2)</f>
        <v>16</v>
      </c>
      <c r="C247">
        <v>170</v>
      </c>
      <c r="D247">
        <v>246</v>
      </c>
    </row>
    <row r="248" spans="1:4" x14ac:dyDescent="0.2">
      <c r="A248" s="10" t="s">
        <v>28</v>
      </c>
      <c r="B248" s="10">
        <f>VLOOKUP(przech_odp_gry_regularne[[#This Row],[Gry regularne]],gry_regularne[],2)</f>
        <v>22</v>
      </c>
      <c r="C248">
        <v>171</v>
      </c>
      <c r="D248">
        <v>247</v>
      </c>
    </row>
    <row r="249" spans="1:4" x14ac:dyDescent="0.2">
      <c r="A249" s="10" t="s">
        <v>9</v>
      </c>
      <c r="B249" s="10">
        <f>VLOOKUP(przech_odp_gry_regularne[[#This Row],[Gry regularne]],gry_regularne[],2)</f>
        <v>17</v>
      </c>
      <c r="C249">
        <v>171</v>
      </c>
      <c r="D249">
        <v>248</v>
      </c>
    </row>
    <row r="250" spans="1:4" x14ac:dyDescent="0.2">
      <c r="A250" s="10" t="s">
        <v>24</v>
      </c>
      <c r="B250" s="10">
        <f>VLOOKUP(przech_odp_gry_regularne[[#This Row],[Gry regularne]],gry_regularne[],2)</f>
        <v>5</v>
      </c>
      <c r="C250">
        <v>172</v>
      </c>
      <c r="D250">
        <v>249</v>
      </c>
    </row>
    <row r="251" spans="1:4" x14ac:dyDescent="0.2">
      <c r="A251" s="10" t="s">
        <v>33</v>
      </c>
      <c r="B251" s="10">
        <f>VLOOKUP(przech_odp_gry_regularne[[#This Row],[Gry regularne]],gry_regularne[],2)</f>
        <v>7</v>
      </c>
      <c r="C251">
        <v>173</v>
      </c>
      <c r="D251">
        <v>250</v>
      </c>
    </row>
    <row r="252" spans="1:4" x14ac:dyDescent="0.2">
      <c r="A252" s="10" t="s">
        <v>4</v>
      </c>
      <c r="B252" s="10">
        <f>VLOOKUP(przech_odp_gry_regularne[[#This Row],[Gry regularne]],gry_regularne[],2)</f>
        <v>21</v>
      </c>
      <c r="C252">
        <v>174</v>
      </c>
      <c r="D252">
        <v>251</v>
      </c>
    </row>
    <row r="253" spans="1:4" x14ac:dyDescent="0.2">
      <c r="A253" s="10" t="s">
        <v>4</v>
      </c>
      <c r="B253" s="10">
        <f>VLOOKUP(przech_odp_gry_regularne[[#This Row],[Gry regularne]],gry_regularne[],2)</f>
        <v>21</v>
      </c>
      <c r="C253">
        <v>175</v>
      </c>
      <c r="D253">
        <v>252</v>
      </c>
    </row>
    <row r="254" spans="1:4" x14ac:dyDescent="0.2">
      <c r="A254" s="10" t="s">
        <v>45</v>
      </c>
      <c r="B254" s="10">
        <f>VLOOKUP(przech_odp_gry_regularne[[#This Row],[Gry regularne]],gry_regularne[],2)</f>
        <v>12</v>
      </c>
      <c r="C254">
        <v>176</v>
      </c>
      <c r="D254">
        <v>253</v>
      </c>
    </row>
    <row r="255" spans="1:4" x14ac:dyDescent="0.2">
      <c r="A255" s="10" t="s">
        <v>4</v>
      </c>
      <c r="B255" s="10">
        <f>VLOOKUP(przech_odp_gry_regularne[[#This Row],[Gry regularne]],gry_regularne[],2)</f>
        <v>21</v>
      </c>
      <c r="C255">
        <v>177</v>
      </c>
      <c r="D255">
        <v>254</v>
      </c>
    </row>
    <row r="256" spans="1:4" x14ac:dyDescent="0.2">
      <c r="A256" s="10" t="s">
        <v>4</v>
      </c>
      <c r="B256" s="10">
        <f>VLOOKUP(przech_odp_gry_regularne[[#This Row],[Gry regularne]],gry_regularne[],2)</f>
        <v>21</v>
      </c>
      <c r="C256">
        <v>178</v>
      </c>
      <c r="D256">
        <v>255</v>
      </c>
    </row>
    <row r="257" spans="1:4" x14ac:dyDescent="0.2">
      <c r="A257" s="10" t="s">
        <v>9</v>
      </c>
      <c r="B257" s="10">
        <f>VLOOKUP(przech_odp_gry_regularne[[#This Row],[Gry regularne]],gry_regularne[],2)</f>
        <v>17</v>
      </c>
      <c r="C257">
        <v>179</v>
      </c>
      <c r="D257">
        <v>256</v>
      </c>
    </row>
    <row r="258" spans="1:4" x14ac:dyDescent="0.2">
      <c r="A258" s="10" t="s">
        <v>4</v>
      </c>
      <c r="B258" s="10">
        <f>VLOOKUP(przech_odp_gry_regularne[[#This Row],[Gry regularne]],gry_regularne[],2)</f>
        <v>21</v>
      </c>
      <c r="C258">
        <v>180</v>
      </c>
      <c r="D258">
        <v>257</v>
      </c>
    </row>
    <row r="259" spans="1:4" x14ac:dyDescent="0.2">
      <c r="A259" s="10" t="s">
        <v>30</v>
      </c>
      <c r="B259" s="10">
        <f>VLOOKUP(przech_odp_gry_regularne[[#This Row],[Gry regularne]],gry_regularne[],2)</f>
        <v>4</v>
      </c>
      <c r="C259">
        <v>181</v>
      </c>
      <c r="D259">
        <v>258</v>
      </c>
    </row>
    <row r="260" spans="1:4" x14ac:dyDescent="0.2">
      <c r="A260" s="10" t="s">
        <v>30</v>
      </c>
      <c r="B260" s="10">
        <f>VLOOKUP(przech_odp_gry_regularne[[#This Row],[Gry regularne]],gry_regularne[],2)</f>
        <v>4</v>
      </c>
      <c r="C260">
        <v>182</v>
      </c>
      <c r="D260">
        <v>259</v>
      </c>
    </row>
    <row r="261" spans="1:4" x14ac:dyDescent="0.2">
      <c r="A261" s="10" t="s">
        <v>4</v>
      </c>
      <c r="B261" s="10">
        <f>VLOOKUP(przech_odp_gry_regularne[[#This Row],[Gry regularne]],gry_regularne[],2)</f>
        <v>21</v>
      </c>
      <c r="C261">
        <v>183</v>
      </c>
      <c r="D261">
        <v>260</v>
      </c>
    </row>
    <row r="262" spans="1:4" x14ac:dyDescent="0.2">
      <c r="A262" s="10" t="s">
        <v>26</v>
      </c>
      <c r="B262" s="10">
        <f>VLOOKUP(przech_odp_gry_regularne[[#This Row],[Gry regularne]],gry_regularne[],2)</f>
        <v>14</v>
      </c>
      <c r="C262">
        <v>184</v>
      </c>
      <c r="D262">
        <v>261</v>
      </c>
    </row>
    <row r="263" spans="1:4" x14ac:dyDescent="0.2">
      <c r="A263" s="10" t="s">
        <v>9</v>
      </c>
      <c r="B263" s="10">
        <f>VLOOKUP(przech_odp_gry_regularne[[#This Row],[Gry regularne]],gry_regularne[],2)</f>
        <v>17</v>
      </c>
      <c r="C263">
        <v>185</v>
      </c>
      <c r="D263">
        <v>262</v>
      </c>
    </row>
    <row r="264" spans="1:4" x14ac:dyDescent="0.2">
      <c r="A264" s="10" t="s">
        <v>33</v>
      </c>
      <c r="B264" s="10">
        <f>VLOOKUP(przech_odp_gry_regularne[[#This Row],[Gry regularne]],gry_regularne[],2)</f>
        <v>7</v>
      </c>
      <c r="C264">
        <v>186</v>
      </c>
      <c r="D264">
        <v>263</v>
      </c>
    </row>
    <row r="265" spans="1:4" x14ac:dyDescent="0.2">
      <c r="A265" s="10" t="s">
        <v>33</v>
      </c>
      <c r="B265" s="10">
        <f>VLOOKUP(przech_odp_gry_regularne[[#This Row],[Gry regularne]],gry_regularne[],2)</f>
        <v>7</v>
      </c>
      <c r="C265">
        <v>187</v>
      </c>
      <c r="D265">
        <v>264</v>
      </c>
    </row>
    <row r="266" spans="1:4" x14ac:dyDescent="0.2">
      <c r="A266" s="10" t="s">
        <v>9</v>
      </c>
      <c r="B266" s="10">
        <f>VLOOKUP(przech_odp_gry_regularne[[#This Row],[Gry regularne]],gry_regularne[],2)</f>
        <v>17</v>
      </c>
      <c r="C266">
        <v>188</v>
      </c>
      <c r="D266">
        <v>265</v>
      </c>
    </row>
    <row r="267" spans="1:4" x14ac:dyDescent="0.2">
      <c r="A267" s="10" t="s">
        <v>30</v>
      </c>
      <c r="B267" s="10">
        <f>VLOOKUP(przech_odp_gry_regularne[[#This Row],[Gry regularne]],gry_regularne[],2)</f>
        <v>4</v>
      </c>
      <c r="C267">
        <v>188</v>
      </c>
      <c r="D267">
        <v>266</v>
      </c>
    </row>
    <row r="268" spans="1:4" x14ac:dyDescent="0.2">
      <c r="A268" s="10" t="s">
        <v>9</v>
      </c>
      <c r="B268" s="10">
        <f>VLOOKUP(przech_odp_gry_regularne[[#This Row],[Gry regularne]],gry_regularne[],2)</f>
        <v>17</v>
      </c>
      <c r="C268">
        <v>189</v>
      </c>
      <c r="D268">
        <v>267</v>
      </c>
    </row>
    <row r="269" spans="1:4" x14ac:dyDescent="0.2">
      <c r="A269" s="10" t="s">
        <v>4</v>
      </c>
      <c r="B269" s="10">
        <f>VLOOKUP(przech_odp_gry_regularne[[#This Row],[Gry regularne]],gry_regularne[],2)</f>
        <v>21</v>
      </c>
      <c r="C269">
        <v>190</v>
      </c>
      <c r="D269">
        <v>268</v>
      </c>
    </row>
    <row r="270" spans="1:4" x14ac:dyDescent="0.2">
      <c r="A270" s="10" t="s">
        <v>38</v>
      </c>
      <c r="B270" s="10">
        <f>VLOOKUP(przech_odp_gry_regularne[[#This Row],[Gry regularne]],gry_regularne[],2)</f>
        <v>28</v>
      </c>
      <c r="C270">
        <v>191</v>
      </c>
      <c r="D270">
        <v>269</v>
      </c>
    </row>
    <row r="271" spans="1:4" x14ac:dyDescent="0.2">
      <c r="A271" s="10" t="s">
        <v>4</v>
      </c>
      <c r="B271" s="10">
        <f>VLOOKUP(przech_odp_gry_regularne[[#This Row],[Gry regularne]],gry_regularne[],2)</f>
        <v>21</v>
      </c>
      <c r="C271">
        <v>192</v>
      </c>
      <c r="D271">
        <v>270</v>
      </c>
    </row>
    <row r="272" spans="1:4" x14ac:dyDescent="0.2">
      <c r="A272" s="10" t="s">
        <v>28</v>
      </c>
      <c r="B272" s="10">
        <f>VLOOKUP(przech_odp_gry_regularne[[#This Row],[Gry regularne]],gry_regularne[],2)</f>
        <v>22</v>
      </c>
      <c r="C272">
        <v>193</v>
      </c>
      <c r="D272">
        <v>271</v>
      </c>
    </row>
    <row r="273" spans="1:4" x14ac:dyDescent="0.2">
      <c r="A273" s="10" t="s">
        <v>26</v>
      </c>
      <c r="B273" s="10">
        <f>VLOOKUP(przech_odp_gry_regularne[[#This Row],[Gry regularne]],gry_regularne[],2)</f>
        <v>14</v>
      </c>
      <c r="C273">
        <v>193</v>
      </c>
      <c r="D273">
        <v>272</v>
      </c>
    </row>
    <row r="274" spans="1:4" x14ac:dyDescent="0.2">
      <c r="A274" s="10" t="s">
        <v>9</v>
      </c>
      <c r="B274" s="10">
        <f>VLOOKUP(przech_odp_gry_regularne[[#This Row],[Gry regularne]],gry_regularne[],2)</f>
        <v>17</v>
      </c>
      <c r="C274">
        <v>193</v>
      </c>
      <c r="D274">
        <v>273</v>
      </c>
    </row>
    <row r="275" spans="1:4" x14ac:dyDescent="0.2">
      <c r="A275" s="10" t="s">
        <v>4</v>
      </c>
      <c r="B275" s="10">
        <f>VLOOKUP(przech_odp_gry_regularne[[#This Row],[Gry regularne]],gry_regularne[],2)</f>
        <v>21</v>
      </c>
      <c r="C275">
        <v>194</v>
      </c>
      <c r="D275">
        <v>274</v>
      </c>
    </row>
    <row r="276" spans="1:4" x14ac:dyDescent="0.2">
      <c r="A276" s="10" t="s">
        <v>9</v>
      </c>
      <c r="B276" s="10">
        <f>VLOOKUP(przech_odp_gry_regularne[[#This Row],[Gry regularne]],gry_regularne[],2)</f>
        <v>17</v>
      </c>
      <c r="C276">
        <v>195</v>
      </c>
      <c r="D276">
        <v>275</v>
      </c>
    </row>
    <row r="277" spans="1:4" x14ac:dyDescent="0.2">
      <c r="A277" s="10" t="s">
        <v>9</v>
      </c>
      <c r="B277" s="10">
        <f>VLOOKUP(przech_odp_gry_regularne[[#This Row],[Gry regularne]],gry_regularne[],2)</f>
        <v>17</v>
      </c>
      <c r="C277">
        <v>196</v>
      </c>
      <c r="D277">
        <v>276</v>
      </c>
    </row>
    <row r="278" spans="1:4" x14ac:dyDescent="0.2">
      <c r="A278" s="10" t="s">
        <v>75</v>
      </c>
      <c r="B278" s="10">
        <f>VLOOKUP(przech_odp_gry_regularne[[#This Row],[Gry regularne]],gry_regularne[],2)</f>
        <v>35</v>
      </c>
      <c r="C278">
        <v>197</v>
      </c>
      <c r="D278">
        <v>277</v>
      </c>
    </row>
    <row r="279" spans="1:4" x14ac:dyDescent="0.2">
      <c r="A279" s="10" t="s">
        <v>30</v>
      </c>
      <c r="B279" s="10">
        <f>VLOOKUP(przech_odp_gry_regularne[[#This Row],[Gry regularne]],gry_regularne[],2)</f>
        <v>4</v>
      </c>
      <c r="C279">
        <v>198</v>
      </c>
      <c r="D279">
        <v>278</v>
      </c>
    </row>
    <row r="280" spans="1:4" x14ac:dyDescent="0.2">
      <c r="A280" s="10" t="s">
        <v>53</v>
      </c>
      <c r="B280" s="10">
        <f>VLOOKUP(przech_odp_gry_regularne[[#This Row],[Gry regularne]],gry_regularne[],2)</f>
        <v>16</v>
      </c>
      <c r="C280">
        <v>198</v>
      </c>
      <c r="D280">
        <v>279</v>
      </c>
    </row>
    <row r="281" spans="1:4" x14ac:dyDescent="0.2">
      <c r="A281" s="10" t="s">
        <v>4</v>
      </c>
      <c r="B281" s="10">
        <f>VLOOKUP(przech_odp_gry_regularne[[#This Row],[Gry regularne]],gry_regularne[],2)</f>
        <v>21</v>
      </c>
      <c r="C281">
        <v>199</v>
      </c>
      <c r="D281">
        <v>280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3DFF0-ABBC-4276-971D-046F54FA7BAA}">
  <sheetPr codeName="Arkusz6"/>
  <dimension ref="A1:H200"/>
  <sheetViews>
    <sheetView workbookViewId="0">
      <selection activeCell="F9" sqref="F9"/>
    </sheetView>
  </sheetViews>
  <sheetFormatPr defaultRowHeight="12.75" x14ac:dyDescent="0.2"/>
  <cols>
    <col min="1" max="1" width="9.42578125" bestFit="1" customWidth="1"/>
    <col min="2" max="2" width="9.85546875" bestFit="1" customWidth="1"/>
    <col min="3" max="3" width="12.85546875" bestFit="1" customWidth="1"/>
    <col min="4" max="4" width="10.5703125" bestFit="1" customWidth="1"/>
    <col min="5" max="5" width="13" bestFit="1" customWidth="1"/>
    <col min="6" max="6" width="7.5703125" bestFit="1" customWidth="1"/>
    <col min="7" max="7" width="62.140625" bestFit="1" customWidth="1"/>
    <col min="8" max="8" width="11.28515625" bestFit="1" customWidth="1"/>
    <col min="9" max="9" width="62.140625" bestFit="1" customWidth="1"/>
    <col min="10" max="10" width="13" bestFit="1" customWidth="1"/>
    <col min="11" max="12" width="17" bestFit="1" customWidth="1"/>
  </cols>
  <sheetData>
    <row r="1" spans="1:8" x14ac:dyDescent="0.2">
      <c r="A1" t="s">
        <v>199</v>
      </c>
      <c r="B1" s="11" t="s">
        <v>197</v>
      </c>
      <c r="C1" t="s">
        <v>204</v>
      </c>
      <c r="D1" t="s">
        <v>1</v>
      </c>
      <c r="E1" s="11" t="s">
        <v>198</v>
      </c>
      <c r="F1" t="s">
        <v>205</v>
      </c>
      <c r="G1" t="s">
        <v>3</v>
      </c>
      <c r="H1" t="s">
        <v>206</v>
      </c>
    </row>
    <row r="2" spans="1:8" x14ac:dyDescent="0.2">
      <c r="A2">
        <v>1</v>
      </c>
      <c r="B2" s="10">
        <f>VLOOKUP(odpowiedzi[[#This Row],[Płeć]],plec[],2)</f>
        <v>2</v>
      </c>
      <c r="C2">
        <v>0</v>
      </c>
      <c r="D2" s="10" t="s">
        <v>8</v>
      </c>
      <c r="E2">
        <f>VLOOKUP(odpowiedzi[[#This Row],[Wydział]],wydzial[],2)</f>
        <v>11</v>
      </c>
      <c r="F2">
        <v>18</v>
      </c>
      <c r="G2" s="10" t="s">
        <v>160</v>
      </c>
      <c r="H2">
        <v>0</v>
      </c>
    </row>
    <row r="3" spans="1:8" x14ac:dyDescent="0.2">
      <c r="A3">
        <v>2</v>
      </c>
      <c r="B3" s="10">
        <f>VLOOKUP(odpowiedzi[[#This Row],[Płeć]],plec[],2)</f>
        <v>2</v>
      </c>
      <c r="C3">
        <v>1</v>
      </c>
      <c r="D3" s="10" t="s">
        <v>8</v>
      </c>
      <c r="E3">
        <f>VLOOKUP(odpowiedzi[[#This Row],[Wydział]],wydzial[],2)</f>
        <v>19</v>
      </c>
      <c r="F3">
        <v>18</v>
      </c>
      <c r="G3" s="10" t="s">
        <v>141</v>
      </c>
      <c r="H3">
        <v>0</v>
      </c>
    </row>
    <row r="4" spans="1:8" x14ac:dyDescent="0.2">
      <c r="A4">
        <v>3</v>
      </c>
      <c r="B4" s="10">
        <f>VLOOKUP(odpowiedzi[[#This Row],[Płeć]],plec[],2)</f>
        <v>2</v>
      </c>
      <c r="C4">
        <v>1</v>
      </c>
      <c r="D4" s="10" t="s">
        <v>8</v>
      </c>
      <c r="E4">
        <f>VLOOKUP(odpowiedzi[[#This Row],[Wydział]],wydzial[],2)</f>
        <v>6</v>
      </c>
      <c r="F4">
        <v>19</v>
      </c>
      <c r="G4" s="10" t="s">
        <v>162</v>
      </c>
      <c r="H4">
        <v>0</v>
      </c>
    </row>
    <row r="5" spans="1:8" x14ac:dyDescent="0.2">
      <c r="A5">
        <v>4</v>
      </c>
      <c r="B5" s="10">
        <f>VLOOKUP(odpowiedzi[[#This Row],[Płeć]],plec[],2)</f>
        <v>2</v>
      </c>
      <c r="C5">
        <v>0</v>
      </c>
      <c r="D5" s="10" t="s">
        <v>8</v>
      </c>
      <c r="E5">
        <f>VLOOKUP(odpowiedzi[[#This Row],[Wydział]],wydzial[],2)</f>
        <v>7</v>
      </c>
      <c r="F5">
        <v>19</v>
      </c>
      <c r="G5" s="10" t="s">
        <v>51</v>
      </c>
      <c r="H5">
        <v>0</v>
      </c>
    </row>
    <row r="6" spans="1:8" x14ac:dyDescent="0.2">
      <c r="A6">
        <v>5</v>
      </c>
      <c r="B6" s="10">
        <f>VLOOKUP(odpowiedzi[[#This Row],[Płeć]],plec[],2)</f>
        <v>2</v>
      </c>
      <c r="C6">
        <v>1</v>
      </c>
      <c r="D6" s="10" t="s">
        <v>8</v>
      </c>
      <c r="E6">
        <f>VLOOKUP(odpowiedzi[[#This Row],[Wydział]],wydzial[],2)</f>
        <v>12</v>
      </c>
      <c r="F6">
        <v>19</v>
      </c>
      <c r="G6" s="10" t="s">
        <v>161</v>
      </c>
      <c r="H6">
        <v>1</v>
      </c>
    </row>
    <row r="7" spans="1:8" x14ac:dyDescent="0.2">
      <c r="A7">
        <v>6</v>
      </c>
      <c r="B7" s="10">
        <f>VLOOKUP(odpowiedzi[[#This Row],[Płeć]],plec[],2)</f>
        <v>2</v>
      </c>
      <c r="C7">
        <v>1</v>
      </c>
      <c r="D7" s="10" t="s">
        <v>8</v>
      </c>
      <c r="E7">
        <f>VLOOKUP(odpowiedzi[[#This Row],[Wydział]],wydzial[],2)</f>
        <v>19</v>
      </c>
      <c r="F7">
        <v>19</v>
      </c>
      <c r="G7" s="10" t="s">
        <v>141</v>
      </c>
      <c r="H7">
        <v>0</v>
      </c>
    </row>
    <row r="8" spans="1:8" x14ac:dyDescent="0.2">
      <c r="A8">
        <v>7</v>
      </c>
      <c r="B8" s="10">
        <f>VLOOKUP(odpowiedzi[[#This Row],[Płeć]],plec[],2)</f>
        <v>2</v>
      </c>
      <c r="C8">
        <v>1</v>
      </c>
      <c r="D8" s="10" t="s">
        <v>8</v>
      </c>
      <c r="E8">
        <f>VLOOKUP(odpowiedzi[[#This Row],[Wydział]],wydzial[],2)</f>
        <v>19</v>
      </c>
      <c r="F8">
        <v>19</v>
      </c>
      <c r="G8" s="10" t="s">
        <v>141</v>
      </c>
      <c r="H8">
        <v>1</v>
      </c>
    </row>
    <row r="9" spans="1:8" x14ac:dyDescent="0.2">
      <c r="A9">
        <v>8</v>
      </c>
      <c r="B9" s="10">
        <f>VLOOKUP(odpowiedzi[[#This Row],[Płeć]],plec[],2)</f>
        <v>2</v>
      </c>
      <c r="C9">
        <v>1</v>
      </c>
      <c r="D9" s="10" t="s">
        <v>8</v>
      </c>
      <c r="E9">
        <f>VLOOKUP(odpowiedzi[[#This Row],[Wydział]],wydzial[],2)</f>
        <v>19</v>
      </c>
      <c r="F9">
        <v>19</v>
      </c>
      <c r="G9" s="10" t="s">
        <v>141</v>
      </c>
      <c r="H9">
        <v>0</v>
      </c>
    </row>
    <row r="10" spans="1:8" x14ac:dyDescent="0.2">
      <c r="A10">
        <v>9</v>
      </c>
      <c r="B10" s="10">
        <f>VLOOKUP(odpowiedzi[[#This Row],[Płeć]],plec[],2)</f>
        <v>2</v>
      </c>
      <c r="C10">
        <v>1</v>
      </c>
      <c r="D10" s="10" t="s">
        <v>8</v>
      </c>
      <c r="E10">
        <f>VLOOKUP(odpowiedzi[[#This Row],[Wydział]],wydzial[],2)</f>
        <v>19</v>
      </c>
      <c r="F10">
        <v>19</v>
      </c>
      <c r="G10" s="10" t="s">
        <v>141</v>
      </c>
      <c r="H10">
        <v>0</v>
      </c>
    </row>
    <row r="11" spans="1:8" x14ac:dyDescent="0.2">
      <c r="A11">
        <v>10</v>
      </c>
      <c r="B11" s="10">
        <f>VLOOKUP(odpowiedzi[[#This Row],[Płeć]],plec[],2)</f>
        <v>2</v>
      </c>
      <c r="C11">
        <v>1</v>
      </c>
      <c r="D11" s="10" t="s">
        <v>8</v>
      </c>
      <c r="E11">
        <f>VLOOKUP(odpowiedzi[[#This Row],[Wydział]],wydzial[],2)</f>
        <v>19</v>
      </c>
      <c r="F11">
        <v>19</v>
      </c>
      <c r="G11" s="10" t="s">
        <v>141</v>
      </c>
      <c r="H11">
        <v>0</v>
      </c>
    </row>
    <row r="12" spans="1:8" x14ac:dyDescent="0.2">
      <c r="A12">
        <v>11</v>
      </c>
      <c r="B12" s="10">
        <f>VLOOKUP(odpowiedzi[[#This Row],[Płeć]],plec[],2)</f>
        <v>2</v>
      </c>
      <c r="C12">
        <v>1</v>
      </c>
      <c r="D12" s="10" t="s">
        <v>8</v>
      </c>
      <c r="E12">
        <f>VLOOKUP(odpowiedzi[[#This Row],[Wydział]],wydzial[],2)</f>
        <v>19</v>
      </c>
      <c r="F12">
        <v>19</v>
      </c>
      <c r="G12" s="10" t="s">
        <v>141</v>
      </c>
      <c r="H12">
        <v>1</v>
      </c>
    </row>
    <row r="13" spans="1:8" x14ac:dyDescent="0.2">
      <c r="A13">
        <v>12</v>
      </c>
      <c r="B13" s="10">
        <f>VLOOKUP(odpowiedzi[[#This Row],[Płeć]],plec[],2)</f>
        <v>2</v>
      </c>
      <c r="C13">
        <v>0</v>
      </c>
      <c r="D13" s="10" t="s">
        <v>8</v>
      </c>
      <c r="E13">
        <f>VLOOKUP(odpowiedzi[[#This Row],[Wydział]],wydzial[],2)</f>
        <v>19</v>
      </c>
      <c r="F13">
        <v>19</v>
      </c>
      <c r="G13" s="10" t="s">
        <v>141</v>
      </c>
      <c r="H13">
        <v>1</v>
      </c>
    </row>
    <row r="14" spans="1:8" x14ac:dyDescent="0.2">
      <c r="A14">
        <v>13</v>
      </c>
      <c r="B14" s="10">
        <f>VLOOKUP(odpowiedzi[[#This Row],[Płeć]],plec[],2)</f>
        <v>2</v>
      </c>
      <c r="C14">
        <v>1</v>
      </c>
      <c r="D14" s="10" t="s">
        <v>8</v>
      </c>
      <c r="E14">
        <f>VLOOKUP(odpowiedzi[[#This Row],[Wydział]],wydzial[],2)</f>
        <v>19</v>
      </c>
      <c r="F14">
        <v>19</v>
      </c>
      <c r="G14" s="10" t="s">
        <v>141</v>
      </c>
      <c r="H14">
        <v>0</v>
      </c>
    </row>
    <row r="15" spans="1:8" x14ac:dyDescent="0.2">
      <c r="A15">
        <v>14</v>
      </c>
      <c r="B15" s="10">
        <f>VLOOKUP(odpowiedzi[[#This Row],[Płeć]],plec[],2)</f>
        <v>2</v>
      </c>
      <c r="C15">
        <v>1</v>
      </c>
      <c r="D15" s="10" t="s">
        <v>8</v>
      </c>
      <c r="E15">
        <f>VLOOKUP(odpowiedzi[[#This Row],[Wydział]],wydzial[],2)</f>
        <v>19</v>
      </c>
      <c r="F15">
        <v>19</v>
      </c>
      <c r="G15" s="10" t="s">
        <v>141</v>
      </c>
      <c r="H15">
        <v>0</v>
      </c>
    </row>
    <row r="16" spans="1:8" x14ac:dyDescent="0.2">
      <c r="A16">
        <v>15</v>
      </c>
      <c r="B16" s="10">
        <f>VLOOKUP(odpowiedzi[[#This Row],[Płeć]],plec[],2)</f>
        <v>2</v>
      </c>
      <c r="C16">
        <v>0</v>
      </c>
      <c r="D16" s="10" t="s">
        <v>8</v>
      </c>
      <c r="E16">
        <f>VLOOKUP(odpowiedzi[[#This Row],[Wydział]],wydzial[],2)</f>
        <v>20</v>
      </c>
      <c r="F16">
        <v>19</v>
      </c>
      <c r="G16" s="10" t="s">
        <v>153</v>
      </c>
      <c r="H16">
        <v>0</v>
      </c>
    </row>
    <row r="17" spans="1:8" x14ac:dyDescent="0.2">
      <c r="A17">
        <v>16</v>
      </c>
      <c r="B17" s="10">
        <f>VLOOKUP(odpowiedzi[[#This Row],[Płeć]],plec[],2)</f>
        <v>2</v>
      </c>
      <c r="C17">
        <v>1</v>
      </c>
      <c r="D17" s="10" t="s">
        <v>8</v>
      </c>
      <c r="E17">
        <f>VLOOKUP(odpowiedzi[[#This Row],[Wydział]],wydzial[],2)</f>
        <v>20</v>
      </c>
      <c r="F17">
        <v>19</v>
      </c>
      <c r="G17" s="10" t="s">
        <v>153</v>
      </c>
      <c r="H17">
        <v>0</v>
      </c>
    </row>
    <row r="18" spans="1:8" x14ac:dyDescent="0.2">
      <c r="A18">
        <v>17</v>
      </c>
      <c r="B18" s="10">
        <f>VLOOKUP(odpowiedzi[[#This Row],[Płeć]],plec[],2)</f>
        <v>1</v>
      </c>
      <c r="C18">
        <v>0</v>
      </c>
      <c r="D18" s="10" t="s">
        <v>13</v>
      </c>
      <c r="E18">
        <f>VLOOKUP(odpowiedzi[[#This Row],[Wydział]],wydzial[],2)</f>
        <v>22</v>
      </c>
      <c r="F18">
        <v>19</v>
      </c>
      <c r="G18" s="10" t="s">
        <v>69</v>
      </c>
      <c r="H18">
        <v>0</v>
      </c>
    </row>
    <row r="19" spans="1:8" x14ac:dyDescent="0.2">
      <c r="A19">
        <v>18</v>
      </c>
      <c r="B19" s="10">
        <f>VLOOKUP(odpowiedzi[[#This Row],[Płeć]],plec[],2)</f>
        <v>2</v>
      </c>
      <c r="C19">
        <v>1</v>
      </c>
      <c r="D19" s="10" t="s">
        <v>8</v>
      </c>
      <c r="E19">
        <f>VLOOKUP(odpowiedzi[[#This Row],[Wydział]],wydzial[],2)</f>
        <v>22</v>
      </c>
      <c r="F19">
        <v>19</v>
      </c>
      <c r="G19" s="10" t="s">
        <v>69</v>
      </c>
      <c r="H19">
        <v>0</v>
      </c>
    </row>
    <row r="20" spans="1:8" x14ac:dyDescent="0.2">
      <c r="A20">
        <v>19</v>
      </c>
      <c r="B20" s="10">
        <f>VLOOKUP(odpowiedzi[[#This Row],[Płeć]],plec[],2)</f>
        <v>1</v>
      </c>
      <c r="C20">
        <v>0</v>
      </c>
      <c r="D20" s="10" t="s">
        <v>13</v>
      </c>
      <c r="E20">
        <f>VLOOKUP(odpowiedzi[[#This Row],[Wydział]],wydzial[],2)</f>
        <v>26</v>
      </c>
      <c r="F20">
        <v>19</v>
      </c>
      <c r="G20" s="10" t="s">
        <v>62</v>
      </c>
      <c r="H20">
        <v>0</v>
      </c>
    </row>
    <row r="21" spans="1:8" x14ac:dyDescent="0.2">
      <c r="A21">
        <v>20</v>
      </c>
      <c r="B21" s="10">
        <f>VLOOKUP(odpowiedzi[[#This Row],[Płeć]],plec[],2)</f>
        <v>1</v>
      </c>
      <c r="C21">
        <v>0</v>
      </c>
      <c r="D21" s="10" t="s">
        <v>13</v>
      </c>
      <c r="E21">
        <f>VLOOKUP(odpowiedzi[[#This Row],[Wydział]],wydzial[],2)</f>
        <v>26</v>
      </c>
      <c r="F21">
        <v>19</v>
      </c>
      <c r="G21" s="10" t="s">
        <v>62</v>
      </c>
      <c r="H21">
        <v>0</v>
      </c>
    </row>
    <row r="22" spans="1:8" x14ac:dyDescent="0.2">
      <c r="A22">
        <v>21</v>
      </c>
      <c r="B22" s="10">
        <f>VLOOKUP(odpowiedzi[[#This Row],[Płeć]],plec[],2)</f>
        <v>1</v>
      </c>
      <c r="C22">
        <v>1</v>
      </c>
      <c r="D22" s="10" t="s">
        <v>13</v>
      </c>
      <c r="E22">
        <f>VLOOKUP(odpowiedzi[[#This Row],[Wydział]],wydzial[],2)</f>
        <v>31</v>
      </c>
      <c r="F22">
        <v>19</v>
      </c>
      <c r="G22" s="10" t="s">
        <v>155</v>
      </c>
      <c r="H22">
        <v>1</v>
      </c>
    </row>
    <row r="23" spans="1:8" x14ac:dyDescent="0.2">
      <c r="A23">
        <v>22</v>
      </c>
      <c r="B23" s="10">
        <f>VLOOKUP(odpowiedzi[[#This Row],[Płeć]],plec[],2)</f>
        <v>2</v>
      </c>
      <c r="C23">
        <v>1</v>
      </c>
      <c r="D23" s="10" t="s">
        <v>8</v>
      </c>
      <c r="E23">
        <f>VLOOKUP(odpowiedzi[[#This Row],[Wydział]],wydzial[],2)</f>
        <v>31</v>
      </c>
      <c r="F23">
        <v>19</v>
      </c>
      <c r="G23" s="10" t="s">
        <v>155</v>
      </c>
      <c r="H23">
        <v>0</v>
      </c>
    </row>
    <row r="24" spans="1:8" x14ac:dyDescent="0.2">
      <c r="A24">
        <v>23</v>
      </c>
      <c r="B24" s="10">
        <f>VLOOKUP(odpowiedzi[[#This Row],[Płeć]],plec[],2)</f>
        <v>1</v>
      </c>
      <c r="C24">
        <v>0</v>
      </c>
      <c r="D24" s="10" t="s">
        <v>13</v>
      </c>
      <c r="E24">
        <f>VLOOKUP(odpowiedzi[[#This Row],[Wydział]],wydzial[],2)</f>
        <v>33</v>
      </c>
      <c r="F24">
        <v>19</v>
      </c>
      <c r="G24" s="10" t="s">
        <v>27</v>
      </c>
      <c r="H24">
        <v>0</v>
      </c>
    </row>
    <row r="25" spans="1:8" x14ac:dyDescent="0.2">
      <c r="A25">
        <v>24</v>
      </c>
      <c r="B25" s="10">
        <f>VLOOKUP(odpowiedzi[[#This Row],[Płeć]],plec[],2)</f>
        <v>2</v>
      </c>
      <c r="C25">
        <v>1</v>
      </c>
      <c r="D25" s="10" t="s">
        <v>8</v>
      </c>
      <c r="E25">
        <f>VLOOKUP(odpowiedzi[[#This Row],[Wydział]],wydzial[],2)</f>
        <v>33</v>
      </c>
      <c r="F25">
        <v>19</v>
      </c>
      <c r="G25" s="10" t="s">
        <v>27</v>
      </c>
      <c r="H25">
        <v>0</v>
      </c>
    </row>
    <row r="26" spans="1:8" x14ac:dyDescent="0.2">
      <c r="A26">
        <v>25</v>
      </c>
      <c r="B26" s="10">
        <f>VLOOKUP(odpowiedzi[[#This Row],[Płeć]],plec[],2)</f>
        <v>2</v>
      </c>
      <c r="C26">
        <v>1</v>
      </c>
      <c r="D26" s="10" t="s">
        <v>8</v>
      </c>
      <c r="E26">
        <f>VLOOKUP(odpowiedzi[[#This Row],[Wydział]],wydzial[],2)</f>
        <v>33</v>
      </c>
      <c r="F26">
        <v>19</v>
      </c>
      <c r="G26" s="10" t="s">
        <v>27</v>
      </c>
      <c r="H26">
        <v>0</v>
      </c>
    </row>
    <row r="27" spans="1:8" x14ac:dyDescent="0.2">
      <c r="A27">
        <v>26</v>
      </c>
      <c r="B27" s="10">
        <f>VLOOKUP(odpowiedzi[[#This Row],[Płeć]],plec[],2)</f>
        <v>1</v>
      </c>
      <c r="C27">
        <v>0</v>
      </c>
      <c r="D27" s="10" t="s">
        <v>13</v>
      </c>
      <c r="E27">
        <f>VLOOKUP(odpowiedzi[[#This Row],[Wydział]],wydzial[],2)</f>
        <v>1</v>
      </c>
      <c r="F27">
        <v>20</v>
      </c>
      <c r="G27" s="10" t="s">
        <v>143</v>
      </c>
      <c r="H27">
        <v>0</v>
      </c>
    </row>
    <row r="28" spans="1:8" x14ac:dyDescent="0.2">
      <c r="A28">
        <v>27</v>
      </c>
      <c r="B28" s="10">
        <f>VLOOKUP(odpowiedzi[[#This Row],[Płeć]],plec[],2)</f>
        <v>2</v>
      </c>
      <c r="C28">
        <v>1</v>
      </c>
      <c r="D28" s="10" t="s">
        <v>8</v>
      </c>
      <c r="E28">
        <f>VLOOKUP(odpowiedzi[[#This Row],[Wydział]],wydzial[],2)</f>
        <v>6</v>
      </c>
      <c r="F28">
        <v>20</v>
      </c>
      <c r="G28" s="10" t="s">
        <v>162</v>
      </c>
      <c r="H28">
        <v>0</v>
      </c>
    </row>
    <row r="29" spans="1:8" x14ac:dyDescent="0.2">
      <c r="A29">
        <v>28</v>
      </c>
      <c r="B29" s="10">
        <f>VLOOKUP(odpowiedzi[[#This Row],[Płeć]],plec[],2)</f>
        <v>2</v>
      </c>
      <c r="C29">
        <v>0</v>
      </c>
      <c r="D29" s="10" t="s">
        <v>8</v>
      </c>
      <c r="E29">
        <f>VLOOKUP(odpowiedzi[[#This Row],[Wydział]],wydzial[],2)</f>
        <v>6</v>
      </c>
      <c r="F29">
        <v>20</v>
      </c>
      <c r="G29" s="10" t="s">
        <v>162</v>
      </c>
      <c r="H29">
        <v>0</v>
      </c>
    </row>
    <row r="30" spans="1:8" x14ac:dyDescent="0.2">
      <c r="A30">
        <v>29</v>
      </c>
      <c r="B30" s="10">
        <f>VLOOKUP(odpowiedzi[[#This Row],[Płeć]],plec[],2)</f>
        <v>1</v>
      </c>
      <c r="C30">
        <v>0</v>
      </c>
      <c r="D30" s="10" t="s">
        <v>13</v>
      </c>
      <c r="E30">
        <f>VLOOKUP(odpowiedzi[[#This Row],[Wydział]],wydzial[],2)</f>
        <v>7</v>
      </c>
      <c r="F30">
        <v>20</v>
      </c>
      <c r="G30" s="10" t="s">
        <v>51</v>
      </c>
      <c r="H30">
        <v>0</v>
      </c>
    </row>
    <row r="31" spans="1:8" x14ac:dyDescent="0.2">
      <c r="A31">
        <v>30</v>
      </c>
      <c r="B31" s="10">
        <f>VLOOKUP(odpowiedzi[[#This Row],[Płeć]],plec[],2)</f>
        <v>2</v>
      </c>
      <c r="C31">
        <v>1</v>
      </c>
      <c r="D31" s="10" t="s">
        <v>8</v>
      </c>
      <c r="E31">
        <f>VLOOKUP(odpowiedzi[[#This Row],[Wydział]],wydzial[],2)</f>
        <v>8</v>
      </c>
      <c r="F31">
        <v>20</v>
      </c>
      <c r="G31" s="10" t="s">
        <v>158</v>
      </c>
      <c r="H31">
        <v>1</v>
      </c>
    </row>
    <row r="32" spans="1:8" x14ac:dyDescent="0.2">
      <c r="A32">
        <v>31</v>
      </c>
      <c r="B32" s="10">
        <f>VLOOKUP(odpowiedzi[[#This Row],[Płeć]],plec[],2)</f>
        <v>2</v>
      </c>
      <c r="C32">
        <v>0</v>
      </c>
      <c r="D32" s="10" t="s">
        <v>8</v>
      </c>
      <c r="E32">
        <f>VLOOKUP(odpowiedzi[[#This Row],[Wydział]],wydzial[],2)</f>
        <v>8</v>
      </c>
      <c r="F32">
        <v>20</v>
      </c>
      <c r="G32" s="10" t="s">
        <v>158</v>
      </c>
      <c r="H32">
        <v>0</v>
      </c>
    </row>
    <row r="33" spans="1:8" x14ac:dyDescent="0.2">
      <c r="A33">
        <v>32</v>
      </c>
      <c r="B33" s="10">
        <f>VLOOKUP(odpowiedzi[[#This Row],[Płeć]],plec[],2)</f>
        <v>1</v>
      </c>
      <c r="C33">
        <v>1</v>
      </c>
      <c r="D33" s="10" t="s">
        <v>13</v>
      </c>
      <c r="E33">
        <f>VLOOKUP(odpowiedzi[[#This Row],[Wydział]],wydzial[],2)</f>
        <v>9</v>
      </c>
      <c r="F33">
        <v>20</v>
      </c>
      <c r="G33" s="10" t="s">
        <v>58</v>
      </c>
      <c r="H33">
        <v>1</v>
      </c>
    </row>
    <row r="34" spans="1:8" x14ac:dyDescent="0.2">
      <c r="A34">
        <v>33</v>
      </c>
      <c r="B34" s="10">
        <f>VLOOKUP(odpowiedzi[[#This Row],[Płeć]],plec[],2)</f>
        <v>2</v>
      </c>
      <c r="C34">
        <v>1</v>
      </c>
      <c r="D34" s="10" t="s">
        <v>8</v>
      </c>
      <c r="E34">
        <f>VLOOKUP(odpowiedzi[[#This Row],[Wydział]],wydzial[],2)</f>
        <v>9</v>
      </c>
      <c r="F34">
        <v>20</v>
      </c>
      <c r="G34" s="10" t="s">
        <v>58</v>
      </c>
      <c r="H34">
        <v>0</v>
      </c>
    </row>
    <row r="35" spans="1:8" x14ac:dyDescent="0.2">
      <c r="A35">
        <v>34</v>
      </c>
      <c r="B35" s="10">
        <f>VLOOKUP(odpowiedzi[[#This Row],[Płeć]],plec[],2)</f>
        <v>2</v>
      </c>
      <c r="C35">
        <v>1</v>
      </c>
      <c r="D35" s="10" t="s">
        <v>8</v>
      </c>
      <c r="E35">
        <f>VLOOKUP(odpowiedzi[[#This Row],[Wydział]],wydzial[],2)</f>
        <v>11</v>
      </c>
      <c r="F35">
        <v>20</v>
      </c>
      <c r="G35" s="10" t="s">
        <v>160</v>
      </c>
      <c r="H35">
        <v>0</v>
      </c>
    </row>
    <row r="36" spans="1:8" x14ac:dyDescent="0.2">
      <c r="A36">
        <v>35</v>
      </c>
      <c r="B36" s="10">
        <f>VLOOKUP(odpowiedzi[[#This Row],[Płeć]],plec[],2)</f>
        <v>1</v>
      </c>
      <c r="C36">
        <v>1</v>
      </c>
      <c r="D36" s="10" t="s">
        <v>13</v>
      </c>
      <c r="E36">
        <f>VLOOKUP(odpowiedzi[[#This Row],[Wydział]],wydzial[],2)</f>
        <v>14</v>
      </c>
      <c r="F36">
        <v>20</v>
      </c>
      <c r="G36" s="10" t="s">
        <v>149</v>
      </c>
      <c r="H36">
        <v>1</v>
      </c>
    </row>
    <row r="37" spans="1:8" x14ac:dyDescent="0.2">
      <c r="A37">
        <v>36</v>
      </c>
      <c r="B37" s="10">
        <f>VLOOKUP(odpowiedzi[[#This Row],[Płeć]],plec[],2)</f>
        <v>1</v>
      </c>
      <c r="C37">
        <v>1</v>
      </c>
      <c r="D37" s="10" t="s">
        <v>13</v>
      </c>
      <c r="E37">
        <f>VLOOKUP(odpowiedzi[[#This Row],[Wydział]],wydzial[],2)</f>
        <v>15</v>
      </c>
      <c r="F37">
        <v>20</v>
      </c>
      <c r="G37" s="10" t="s">
        <v>150</v>
      </c>
      <c r="H37">
        <v>0</v>
      </c>
    </row>
    <row r="38" spans="1:8" x14ac:dyDescent="0.2">
      <c r="A38">
        <v>37</v>
      </c>
      <c r="B38" s="10">
        <f>VLOOKUP(odpowiedzi[[#This Row],[Płeć]],plec[],2)</f>
        <v>1</v>
      </c>
      <c r="C38">
        <v>1</v>
      </c>
      <c r="D38" s="10" t="s">
        <v>13</v>
      </c>
      <c r="E38">
        <f>VLOOKUP(odpowiedzi[[#This Row],[Wydział]],wydzial[],2)</f>
        <v>16</v>
      </c>
      <c r="F38">
        <v>20</v>
      </c>
      <c r="G38" s="10" t="s">
        <v>151</v>
      </c>
      <c r="H38">
        <v>1</v>
      </c>
    </row>
    <row r="39" spans="1:8" x14ac:dyDescent="0.2">
      <c r="A39">
        <v>38</v>
      </c>
      <c r="B39" s="10">
        <f>VLOOKUP(odpowiedzi[[#This Row],[Płeć]],plec[],2)</f>
        <v>1</v>
      </c>
      <c r="C39">
        <v>1</v>
      </c>
      <c r="D39" s="10" t="s">
        <v>13</v>
      </c>
      <c r="E39">
        <f>VLOOKUP(odpowiedzi[[#This Row],[Wydział]],wydzial[],2)</f>
        <v>17</v>
      </c>
      <c r="F39">
        <v>20</v>
      </c>
      <c r="G39" s="10" t="s">
        <v>152</v>
      </c>
      <c r="H39">
        <v>0</v>
      </c>
    </row>
    <row r="40" spans="1:8" x14ac:dyDescent="0.2">
      <c r="A40">
        <v>39</v>
      </c>
      <c r="B40" s="10">
        <f>VLOOKUP(odpowiedzi[[#This Row],[Płeć]],plec[],2)</f>
        <v>2</v>
      </c>
      <c r="C40">
        <v>1</v>
      </c>
      <c r="D40" s="10" t="s">
        <v>8</v>
      </c>
      <c r="E40">
        <f>VLOOKUP(odpowiedzi[[#This Row],[Wydział]],wydzial[],2)</f>
        <v>19</v>
      </c>
      <c r="F40">
        <v>20</v>
      </c>
      <c r="G40" s="10" t="s">
        <v>141</v>
      </c>
      <c r="H40">
        <v>1</v>
      </c>
    </row>
    <row r="41" spans="1:8" x14ac:dyDescent="0.2">
      <c r="A41">
        <v>40</v>
      </c>
      <c r="B41" s="10">
        <f>VLOOKUP(odpowiedzi[[#This Row],[Płeć]],plec[],2)</f>
        <v>2</v>
      </c>
      <c r="C41">
        <v>1</v>
      </c>
      <c r="D41" s="10" t="s">
        <v>8</v>
      </c>
      <c r="E41">
        <f>VLOOKUP(odpowiedzi[[#This Row],[Wydział]],wydzial[],2)</f>
        <v>19</v>
      </c>
      <c r="F41">
        <v>20</v>
      </c>
      <c r="G41" s="10" t="s">
        <v>141</v>
      </c>
      <c r="H41">
        <v>0</v>
      </c>
    </row>
    <row r="42" spans="1:8" x14ac:dyDescent="0.2">
      <c r="A42">
        <v>41</v>
      </c>
      <c r="B42" s="10">
        <f>VLOOKUP(odpowiedzi[[#This Row],[Płeć]],plec[],2)</f>
        <v>2</v>
      </c>
      <c r="C42">
        <v>1</v>
      </c>
      <c r="D42" s="10" t="s">
        <v>8</v>
      </c>
      <c r="E42">
        <f>VLOOKUP(odpowiedzi[[#This Row],[Wydział]],wydzial[],2)</f>
        <v>19</v>
      </c>
      <c r="F42">
        <v>20</v>
      </c>
      <c r="G42" s="10" t="s">
        <v>141</v>
      </c>
      <c r="H42">
        <v>0</v>
      </c>
    </row>
    <row r="43" spans="1:8" x14ac:dyDescent="0.2">
      <c r="A43">
        <v>42</v>
      </c>
      <c r="B43" s="10">
        <f>VLOOKUP(odpowiedzi[[#This Row],[Płeć]],plec[],2)</f>
        <v>2</v>
      </c>
      <c r="C43">
        <v>1</v>
      </c>
      <c r="D43" s="10" t="s">
        <v>8</v>
      </c>
      <c r="E43">
        <f>VLOOKUP(odpowiedzi[[#This Row],[Wydział]],wydzial[],2)</f>
        <v>19</v>
      </c>
      <c r="F43">
        <v>20</v>
      </c>
      <c r="G43" s="10" t="s">
        <v>141</v>
      </c>
      <c r="H43">
        <v>0</v>
      </c>
    </row>
    <row r="44" spans="1:8" x14ac:dyDescent="0.2">
      <c r="A44">
        <v>43</v>
      </c>
      <c r="B44" s="10">
        <f>VLOOKUP(odpowiedzi[[#This Row],[Płeć]],plec[],2)</f>
        <v>2</v>
      </c>
      <c r="C44">
        <v>1</v>
      </c>
      <c r="D44" s="10" t="s">
        <v>8</v>
      </c>
      <c r="E44">
        <f>VLOOKUP(odpowiedzi[[#This Row],[Wydział]],wydzial[],2)</f>
        <v>19</v>
      </c>
      <c r="F44">
        <v>20</v>
      </c>
      <c r="G44" s="10" t="s">
        <v>141</v>
      </c>
      <c r="H44">
        <v>1</v>
      </c>
    </row>
    <row r="45" spans="1:8" x14ac:dyDescent="0.2">
      <c r="A45">
        <v>44</v>
      </c>
      <c r="B45" s="10">
        <f>VLOOKUP(odpowiedzi[[#This Row],[Płeć]],plec[],2)</f>
        <v>2</v>
      </c>
      <c r="C45">
        <v>0</v>
      </c>
      <c r="D45" s="10" t="s">
        <v>8</v>
      </c>
      <c r="E45">
        <f>VLOOKUP(odpowiedzi[[#This Row],[Wydział]],wydzial[],2)</f>
        <v>19</v>
      </c>
      <c r="F45">
        <v>20</v>
      </c>
      <c r="G45" s="10" t="s">
        <v>141</v>
      </c>
      <c r="H45">
        <v>0</v>
      </c>
    </row>
    <row r="46" spans="1:8" x14ac:dyDescent="0.2">
      <c r="A46">
        <v>45</v>
      </c>
      <c r="B46" s="10">
        <f>VLOOKUP(odpowiedzi[[#This Row],[Płeć]],plec[],2)</f>
        <v>2</v>
      </c>
      <c r="C46">
        <v>0</v>
      </c>
      <c r="D46" s="10" t="s">
        <v>8</v>
      </c>
      <c r="E46">
        <f>VLOOKUP(odpowiedzi[[#This Row],[Wydział]],wydzial[],2)</f>
        <v>19</v>
      </c>
      <c r="F46">
        <v>20</v>
      </c>
      <c r="G46" s="10" t="s">
        <v>141</v>
      </c>
      <c r="H46">
        <v>0</v>
      </c>
    </row>
    <row r="47" spans="1:8" x14ac:dyDescent="0.2">
      <c r="A47">
        <v>46</v>
      </c>
      <c r="B47" s="10">
        <f>VLOOKUP(odpowiedzi[[#This Row],[Płeć]],plec[],2)</f>
        <v>2</v>
      </c>
      <c r="C47">
        <v>1</v>
      </c>
      <c r="D47" s="10" t="s">
        <v>8</v>
      </c>
      <c r="E47">
        <f>VLOOKUP(odpowiedzi[[#This Row],[Wydział]],wydzial[],2)</f>
        <v>19</v>
      </c>
      <c r="F47">
        <v>20</v>
      </c>
      <c r="G47" s="10" t="s">
        <v>141</v>
      </c>
      <c r="H47">
        <v>0</v>
      </c>
    </row>
    <row r="48" spans="1:8" x14ac:dyDescent="0.2">
      <c r="A48">
        <v>47</v>
      </c>
      <c r="B48" s="10">
        <f>VLOOKUP(odpowiedzi[[#This Row],[Płeć]],plec[],2)</f>
        <v>2</v>
      </c>
      <c r="C48">
        <v>1</v>
      </c>
      <c r="D48" s="10" t="s">
        <v>8</v>
      </c>
      <c r="E48">
        <f>VLOOKUP(odpowiedzi[[#This Row],[Wydział]],wydzial[],2)</f>
        <v>19</v>
      </c>
      <c r="F48">
        <v>20</v>
      </c>
      <c r="G48" s="10" t="s">
        <v>141</v>
      </c>
      <c r="H48">
        <v>0</v>
      </c>
    </row>
    <row r="49" spans="1:8" x14ac:dyDescent="0.2">
      <c r="A49">
        <v>48</v>
      </c>
      <c r="B49" s="10">
        <f>VLOOKUP(odpowiedzi[[#This Row],[Płeć]],plec[],2)</f>
        <v>2</v>
      </c>
      <c r="C49">
        <v>0</v>
      </c>
      <c r="D49" s="10" t="s">
        <v>8</v>
      </c>
      <c r="E49">
        <f>VLOOKUP(odpowiedzi[[#This Row],[Wydział]],wydzial[],2)</f>
        <v>19</v>
      </c>
      <c r="F49">
        <v>20</v>
      </c>
      <c r="G49" s="10" t="s">
        <v>141</v>
      </c>
      <c r="H49">
        <v>0</v>
      </c>
    </row>
    <row r="50" spans="1:8" x14ac:dyDescent="0.2">
      <c r="A50">
        <v>49</v>
      </c>
      <c r="B50" s="10">
        <f>VLOOKUP(odpowiedzi[[#This Row],[Płeć]],plec[],2)</f>
        <v>2</v>
      </c>
      <c r="C50">
        <v>1</v>
      </c>
      <c r="D50" s="10" t="s">
        <v>8</v>
      </c>
      <c r="E50">
        <f>VLOOKUP(odpowiedzi[[#This Row],[Wydział]],wydzial[],2)</f>
        <v>19</v>
      </c>
      <c r="F50">
        <v>20</v>
      </c>
      <c r="G50" s="10" t="s">
        <v>141</v>
      </c>
      <c r="H50">
        <v>0</v>
      </c>
    </row>
    <row r="51" spans="1:8" x14ac:dyDescent="0.2">
      <c r="A51">
        <v>50</v>
      </c>
      <c r="B51" s="10">
        <f>VLOOKUP(odpowiedzi[[#This Row],[Płeć]],plec[],2)</f>
        <v>2</v>
      </c>
      <c r="C51">
        <v>1</v>
      </c>
      <c r="D51" s="10" t="s">
        <v>8</v>
      </c>
      <c r="E51">
        <f>VLOOKUP(odpowiedzi[[#This Row],[Wydział]],wydzial[],2)</f>
        <v>19</v>
      </c>
      <c r="F51">
        <v>20</v>
      </c>
      <c r="G51" s="10" t="s">
        <v>141</v>
      </c>
      <c r="H51">
        <v>0</v>
      </c>
    </row>
    <row r="52" spans="1:8" x14ac:dyDescent="0.2">
      <c r="A52">
        <v>51</v>
      </c>
      <c r="B52" s="10">
        <f>VLOOKUP(odpowiedzi[[#This Row],[Płeć]],plec[],2)</f>
        <v>2</v>
      </c>
      <c r="C52">
        <v>1</v>
      </c>
      <c r="D52" s="10" t="s">
        <v>8</v>
      </c>
      <c r="E52">
        <f>VLOOKUP(odpowiedzi[[#This Row],[Wydział]],wydzial[],2)</f>
        <v>19</v>
      </c>
      <c r="F52">
        <v>20</v>
      </c>
      <c r="G52" s="10" t="s">
        <v>141</v>
      </c>
      <c r="H52">
        <v>0</v>
      </c>
    </row>
    <row r="53" spans="1:8" x14ac:dyDescent="0.2">
      <c r="A53">
        <v>52</v>
      </c>
      <c r="B53" s="10">
        <f>VLOOKUP(odpowiedzi[[#This Row],[Płeć]],plec[],2)</f>
        <v>2</v>
      </c>
      <c r="C53">
        <v>1</v>
      </c>
      <c r="D53" s="10" t="s">
        <v>8</v>
      </c>
      <c r="E53">
        <f>VLOOKUP(odpowiedzi[[#This Row],[Wydział]],wydzial[],2)</f>
        <v>19</v>
      </c>
      <c r="F53">
        <v>20</v>
      </c>
      <c r="G53" s="10" t="s">
        <v>141</v>
      </c>
      <c r="H53">
        <v>0</v>
      </c>
    </row>
    <row r="54" spans="1:8" x14ac:dyDescent="0.2">
      <c r="A54">
        <v>53</v>
      </c>
      <c r="B54" s="10">
        <f>VLOOKUP(odpowiedzi[[#This Row],[Płeć]],plec[],2)</f>
        <v>2</v>
      </c>
      <c r="C54">
        <v>1</v>
      </c>
      <c r="D54" s="10" t="s">
        <v>8</v>
      </c>
      <c r="E54">
        <f>VLOOKUP(odpowiedzi[[#This Row],[Wydział]],wydzial[],2)</f>
        <v>19</v>
      </c>
      <c r="F54">
        <v>20</v>
      </c>
      <c r="G54" s="10" t="s">
        <v>141</v>
      </c>
      <c r="H54">
        <v>1</v>
      </c>
    </row>
    <row r="55" spans="1:8" x14ac:dyDescent="0.2">
      <c r="A55">
        <v>54</v>
      </c>
      <c r="B55" s="10">
        <f>VLOOKUP(odpowiedzi[[#This Row],[Płeć]],plec[],2)</f>
        <v>1</v>
      </c>
      <c r="C55">
        <v>0</v>
      </c>
      <c r="D55" s="10" t="s">
        <v>13</v>
      </c>
      <c r="E55">
        <f>VLOOKUP(odpowiedzi[[#This Row],[Wydział]],wydzial[],2)</f>
        <v>21</v>
      </c>
      <c r="F55">
        <v>20</v>
      </c>
      <c r="G55" s="10" t="s">
        <v>76</v>
      </c>
      <c r="H55">
        <v>0</v>
      </c>
    </row>
    <row r="56" spans="1:8" x14ac:dyDescent="0.2">
      <c r="A56">
        <v>55</v>
      </c>
      <c r="B56" s="10">
        <f>VLOOKUP(odpowiedzi[[#This Row],[Płeć]],plec[],2)</f>
        <v>2</v>
      </c>
      <c r="C56">
        <v>1</v>
      </c>
      <c r="D56" s="10" t="s">
        <v>8</v>
      </c>
      <c r="E56">
        <f>VLOOKUP(odpowiedzi[[#This Row],[Wydział]],wydzial[],2)</f>
        <v>21</v>
      </c>
      <c r="F56">
        <v>20</v>
      </c>
      <c r="G56" s="10" t="s">
        <v>76</v>
      </c>
      <c r="H56">
        <v>1</v>
      </c>
    </row>
    <row r="57" spans="1:8" x14ac:dyDescent="0.2">
      <c r="A57">
        <v>56</v>
      </c>
      <c r="B57" s="10">
        <f>VLOOKUP(odpowiedzi[[#This Row],[Płeć]],plec[],2)</f>
        <v>2</v>
      </c>
      <c r="C57">
        <v>1</v>
      </c>
      <c r="D57" s="10" t="s">
        <v>8</v>
      </c>
      <c r="E57">
        <f>VLOOKUP(odpowiedzi[[#This Row],[Wydział]],wydzial[],2)</f>
        <v>21</v>
      </c>
      <c r="F57">
        <v>20</v>
      </c>
      <c r="G57" s="10" t="s">
        <v>76</v>
      </c>
      <c r="H57">
        <v>0</v>
      </c>
    </row>
    <row r="58" spans="1:8" x14ac:dyDescent="0.2">
      <c r="A58">
        <v>57</v>
      </c>
      <c r="B58" s="10">
        <f>VLOOKUP(odpowiedzi[[#This Row],[Płeć]],plec[],2)</f>
        <v>2</v>
      </c>
      <c r="C58">
        <v>0</v>
      </c>
      <c r="D58" s="10" t="s">
        <v>8</v>
      </c>
      <c r="E58">
        <f>VLOOKUP(odpowiedzi[[#This Row],[Wydział]],wydzial[],2)</f>
        <v>21</v>
      </c>
      <c r="F58">
        <v>20</v>
      </c>
      <c r="G58" s="10" t="s">
        <v>76</v>
      </c>
      <c r="H58">
        <v>0</v>
      </c>
    </row>
    <row r="59" spans="1:8" x14ac:dyDescent="0.2">
      <c r="A59">
        <v>58</v>
      </c>
      <c r="B59" s="10">
        <f>VLOOKUP(odpowiedzi[[#This Row],[Płeć]],plec[],2)</f>
        <v>2</v>
      </c>
      <c r="C59">
        <v>1</v>
      </c>
      <c r="D59" s="10" t="s">
        <v>8</v>
      </c>
      <c r="E59">
        <f>VLOOKUP(odpowiedzi[[#This Row],[Wydział]],wydzial[],2)</f>
        <v>21</v>
      </c>
      <c r="F59">
        <v>20</v>
      </c>
      <c r="G59" s="10" t="s">
        <v>76</v>
      </c>
      <c r="H59">
        <v>1</v>
      </c>
    </row>
    <row r="60" spans="1:8" x14ac:dyDescent="0.2">
      <c r="A60">
        <v>59</v>
      </c>
      <c r="B60" s="10">
        <f>VLOOKUP(odpowiedzi[[#This Row],[Płeć]],plec[],2)</f>
        <v>2</v>
      </c>
      <c r="C60">
        <v>1</v>
      </c>
      <c r="D60" s="10" t="s">
        <v>8</v>
      </c>
      <c r="E60">
        <f>VLOOKUP(odpowiedzi[[#This Row],[Wydział]],wydzial[],2)</f>
        <v>21</v>
      </c>
      <c r="F60">
        <v>20</v>
      </c>
      <c r="G60" s="10" t="s">
        <v>76</v>
      </c>
      <c r="H60">
        <v>0</v>
      </c>
    </row>
    <row r="61" spans="1:8" x14ac:dyDescent="0.2">
      <c r="A61">
        <v>60</v>
      </c>
      <c r="B61" s="10">
        <f>VLOOKUP(odpowiedzi[[#This Row],[Płeć]],plec[],2)</f>
        <v>1</v>
      </c>
      <c r="C61">
        <v>0</v>
      </c>
      <c r="D61" s="10" t="s">
        <v>13</v>
      </c>
      <c r="E61">
        <f>VLOOKUP(odpowiedzi[[#This Row],[Wydział]],wydzial[],2)</f>
        <v>21</v>
      </c>
      <c r="F61">
        <v>20</v>
      </c>
      <c r="G61" s="10" t="s">
        <v>76</v>
      </c>
      <c r="H61">
        <v>0</v>
      </c>
    </row>
    <row r="62" spans="1:8" x14ac:dyDescent="0.2">
      <c r="A62">
        <v>61</v>
      </c>
      <c r="B62" s="10">
        <f>VLOOKUP(odpowiedzi[[#This Row],[Płeć]],plec[],2)</f>
        <v>1</v>
      </c>
      <c r="C62">
        <v>0</v>
      </c>
      <c r="D62" s="10" t="s">
        <v>13</v>
      </c>
      <c r="E62">
        <f>VLOOKUP(odpowiedzi[[#This Row],[Wydział]],wydzial[],2)</f>
        <v>22</v>
      </c>
      <c r="F62">
        <v>20</v>
      </c>
      <c r="G62" s="10" t="s">
        <v>69</v>
      </c>
      <c r="H62">
        <v>0</v>
      </c>
    </row>
    <row r="63" spans="1:8" x14ac:dyDescent="0.2">
      <c r="A63">
        <v>62</v>
      </c>
      <c r="B63" s="10">
        <f>VLOOKUP(odpowiedzi[[#This Row],[Płeć]],plec[],2)</f>
        <v>2</v>
      </c>
      <c r="C63">
        <v>1</v>
      </c>
      <c r="D63" s="10" t="s">
        <v>8</v>
      </c>
      <c r="E63">
        <f>VLOOKUP(odpowiedzi[[#This Row],[Wydział]],wydzial[],2)</f>
        <v>22</v>
      </c>
      <c r="F63">
        <v>20</v>
      </c>
      <c r="G63" s="10" t="s">
        <v>69</v>
      </c>
      <c r="H63">
        <v>1</v>
      </c>
    </row>
    <row r="64" spans="1:8" x14ac:dyDescent="0.2">
      <c r="A64">
        <v>63</v>
      </c>
      <c r="B64" s="10">
        <f>VLOOKUP(odpowiedzi[[#This Row],[Płeć]],plec[],2)</f>
        <v>2</v>
      </c>
      <c r="C64">
        <v>1</v>
      </c>
      <c r="D64" s="10" t="s">
        <v>8</v>
      </c>
      <c r="E64">
        <f>VLOOKUP(odpowiedzi[[#This Row],[Wydział]],wydzial[],2)</f>
        <v>22</v>
      </c>
      <c r="F64">
        <v>20</v>
      </c>
      <c r="G64" s="10" t="s">
        <v>69</v>
      </c>
      <c r="H64">
        <v>0</v>
      </c>
    </row>
    <row r="65" spans="1:8" x14ac:dyDescent="0.2">
      <c r="A65">
        <v>64</v>
      </c>
      <c r="B65" s="10">
        <f>VLOOKUP(odpowiedzi[[#This Row],[Płeć]],plec[],2)</f>
        <v>2</v>
      </c>
      <c r="C65">
        <v>0</v>
      </c>
      <c r="D65" s="10" t="s">
        <v>8</v>
      </c>
      <c r="E65">
        <f>VLOOKUP(odpowiedzi[[#This Row],[Wydział]],wydzial[],2)</f>
        <v>23</v>
      </c>
      <c r="F65">
        <v>20</v>
      </c>
      <c r="G65" s="10" t="s">
        <v>79</v>
      </c>
      <c r="H65">
        <v>0</v>
      </c>
    </row>
    <row r="66" spans="1:8" x14ac:dyDescent="0.2">
      <c r="A66">
        <v>65</v>
      </c>
      <c r="B66" s="10">
        <f>VLOOKUP(odpowiedzi[[#This Row],[Płeć]],plec[],2)</f>
        <v>1</v>
      </c>
      <c r="C66">
        <v>0</v>
      </c>
      <c r="D66" s="10" t="s">
        <v>13</v>
      </c>
      <c r="E66">
        <f>VLOOKUP(odpowiedzi[[#This Row],[Wydział]],wydzial[],2)</f>
        <v>11</v>
      </c>
      <c r="F66">
        <v>20</v>
      </c>
      <c r="G66" s="10" t="s">
        <v>160</v>
      </c>
      <c r="H66">
        <v>1</v>
      </c>
    </row>
    <row r="67" spans="1:8" x14ac:dyDescent="0.2">
      <c r="A67">
        <v>66</v>
      </c>
      <c r="B67" s="10">
        <f>VLOOKUP(odpowiedzi[[#This Row],[Płeć]],plec[],2)</f>
        <v>2</v>
      </c>
      <c r="C67">
        <v>1</v>
      </c>
      <c r="D67" s="10" t="s">
        <v>8</v>
      </c>
      <c r="E67">
        <f>VLOOKUP(odpowiedzi[[#This Row],[Wydział]],wydzial[],2)</f>
        <v>25</v>
      </c>
      <c r="F67">
        <v>20</v>
      </c>
      <c r="G67" s="10" t="s">
        <v>154</v>
      </c>
      <c r="H67">
        <v>1</v>
      </c>
    </row>
    <row r="68" spans="1:8" x14ac:dyDescent="0.2">
      <c r="A68">
        <v>67</v>
      </c>
      <c r="B68" s="10">
        <f>VLOOKUP(odpowiedzi[[#This Row],[Płeć]],plec[],2)</f>
        <v>2</v>
      </c>
      <c r="C68">
        <v>1</v>
      </c>
      <c r="D68" s="10" t="s">
        <v>8</v>
      </c>
      <c r="E68">
        <f>VLOOKUP(odpowiedzi[[#This Row],[Wydział]],wydzial[],2)</f>
        <v>27</v>
      </c>
      <c r="F68">
        <v>20</v>
      </c>
      <c r="G68" s="10" t="s">
        <v>144</v>
      </c>
      <c r="H68">
        <v>0</v>
      </c>
    </row>
    <row r="69" spans="1:8" x14ac:dyDescent="0.2">
      <c r="A69">
        <v>68</v>
      </c>
      <c r="B69" s="10">
        <f>VLOOKUP(odpowiedzi[[#This Row],[Płeć]],plec[],2)</f>
        <v>2</v>
      </c>
      <c r="C69">
        <v>0</v>
      </c>
      <c r="D69" s="10" t="s">
        <v>8</v>
      </c>
      <c r="E69">
        <f>VLOOKUP(odpowiedzi[[#This Row],[Wydział]],wydzial[],2)</f>
        <v>28</v>
      </c>
      <c r="F69">
        <v>20</v>
      </c>
      <c r="G69" s="10" t="s">
        <v>146</v>
      </c>
      <c r="H69">
        <v>0</v>
      </c>
    </row>
    <row r="70" spans="1:8" x14ac:dyDescent="0.2">
      <c r="A70">
        <v>69</v>
      </c>
      <c r="B70" s="10">
        <f>VLOOKUP(odpowiedzi[[#This Row],[Płeć]],plec[],2)</f>
        <v>2</v>
      </c>
      <c r="C70">
        <v>0</v>
      </c>
      <c r="D70" s="10" t="s">
        <v>8</v>
      </c>
      <c r="E70">
        <f>VLOOKUP(odpowiedzi[[#This Row],[Wydział]],wydzial[],2)</f>
        <v>28</v>
      </c>
      <c r="F70">
        <v>20</v>
      </c>
      <c r="G70" s="10" t="s">
        <v>146</v>
      </c>
      <c r="H70">
        <v>0</v>
      </c>
    </row>
    <row r="71" spans="1:8" x14ac:dyDescent="0.2">
      <c r="A71">
        <v>70</v>
      </c>
      <c r="B71" s="10">
        <f>VLOOKUP(odpowiedzi[[#This Row],[Płeć]],plec[],2)</f>
        <v>1</v>
      </c>
      <c r="C71">
        <v>0</v>
      </c>
      <c r="D71" s="10" t="s">
        <v>13</v>
      </c>
      <c r="E71">
        <f>VLOOKUP(odpowiedzi[[#This Row],[Wydział]],wydzial[],2)</f>
        <v>29</v>
      </c>
      <c r="F71">
        <v>20</v>
      </c>
      <c r="G71" s="10" t="s">
        <v>56</v>
      </c>
      <c r="H71">
        <v>0</v>
      </c>
    </row>
    <row r="72" spans="1:8" x14ac:dyDescent="0.2">
      <c r="A72">
        <v>71</v>
      </c>
      <c r="B72" s="10">
        <f>VLOOKUP(odpowiedzi[[#This Row],[Płeć]],plec[],2)</f>
        <v>1</v>
      </c>
      <c r="C72">
        <v>1</v>
      </c>
      <c r="D72" s="10" t="s">
        <v>13</v>
      </c>
      <c r="E72">
        <f>VLOOKUP(odpowiedzi[[#This Row],[Wydział]],wydzial[],2)</f>
        <v>29</v>
      </c>
      <c r="F72">
        <v>20</v>
      </c>
      <c r="G72" s="10" t="s">
        <v>56</v>
      </c>
      <c r="H72">
        <v>0</v>
      </c>
    </row>
    <row r="73" spans="1:8" x14ac:dyDescent="0.2">
      <c r="A73">
        <v>72</v>
      </c>
      <c r="B73" s="10">
        <f>VLOOKUP(odpowiedzi[[#This Row],[Płeć]],plec[],2)</f>
        <v>2</v>
      </c>
      <c r="C73">
        <v>1</v>
      </c>
      <c r="D73" s="10" t="s">
        <v>8</v>
      </c>
      <c r="E73">
        <f>VLOOKUP(odpowiedzi[[#This Row],[Wydział]],wydzial[],2)</f>
        <v>29</v>
      </c>
      <c r="F73">
        <v>20</v>
      </c>
      <c r="G73" s="10" t="s">
        <v>56</v>
      </c>
      <c r="H73">
        <v>1</v>
      </c>
    </row>
    <row r="74" spans="1:8" x14ac:dyDescent="0.2">
      <c r="A74">
        <v>73</v>
      </c>
      <c r="B74" s="10">
        <f>VLOOKUP(odpowiedzi[[#This Row],[Płeć]],plec[],2)</f>
        <v>1</v>
      </c>
      <c r="C74">
        <v>0</v>
      </c>
      <c r="D74" s="10" t="s">
        <v>13</v>
      </c>
      <c r="E74">
        <f>VLOOKUP(odpowiedzi[[#This Row],[Wydział]],wydzial[],2)</f>
        <v>29</v>
      </c>
      <c r="F74">
        <v>20</v>
      </c>
      <c r="G74" s="10" t="s">
        <v>56</v>
      </c>
      <c r="H74">
        <v>0</v>
      </c>
    </row>
    <row r="75" spans="1:8" x14ac:dyDescent="0.2">
      <c r="A75">
        <v>74</v>
      </c>
      <c r="B75" s="10">
        <f>VLOOKUP(odpowiedzi[[#This Row],[Płeć]],plec[],2)</f>
        <v>2</v>
      </c>
      <c r="C75">
        <v>1</v>
      </c>
      <c r="D75" s="10" t="s">
        <v>8</v>
      </c>
      <c r="E75">
        <f>VLOOKUP(odpowiedzi[[#This Row],[Wydział]],wydzial[],2)</f>
        <v>29</v>
      </c>
      <c r="F75">
        <v>20</v>
      </c>
      <c r="G75" s="10" t="s">
        <v>56</v>
      </c>
      <c r="H75">
        <v>1</v>
      </c>
    </row>
    <row r="76" spans="1:8" x14ac:dyDescent="0.2">
      <c r="A76">
        <v>75</v>
      </c>
      <c r="B76" s="10">
        <f>VLOOKUP(odpowiedzi[[#This Row],[Płeć]],plec[],2)</f>
        <v>2</v>
      </c>
      <c r="C76">
        <v>1</v>
      </c>
      <c r="D76" s="10" t="s">
        <v>8</v>
      </c>
      <c r="E76">
        <f>VLOOKUP(odpowiedzi[[#This Row],[Wydział]],wydzial[],2)</f>
        <v>33</v>
      </c>
      <c r="F76">
        <v>20</v>
      </c>
      <c r="G76" s="10" t="s">
        <v>27</v>
      </c>
      <c r="H76">
        <v>0</v>
      </c>
    </row>
    <row r="77" spans="1:8" x14ac:dyDescent="0.2">
      <c r="A77">
        <v>76</v>
      </c>
      <c r="B77" s="10">
        <f>VLOOKUP(odpowiedzi[[#This Row],[Płeć]],plec[],2)</f>
        <v>2</v>
      </c>
      <c r="C77">
        <v>1</v>
      </c>
      <c r="D77" s="10" t="s">
        <v>8</v>
      </c>
      <c r="E77">
        <f>VLOOKUP(odpowiedzi[[#This Row],[Wydział]],wydzial[],2)</f>
        <v>33</v>
      </c>
      <c r="F77">
        <v>20</v>
      </c>
      <c r="G77" s="10" t="s">
        <v>27</v>
      </c>
      <c r="H77">
        <v>1</v>
      </c>
    </row>
    <row r="78" spans="1:8" x14ac:dyDescent="0.2">
      <c r="A78">
        <v>77</v>
      </c>
      <c r="B78" s="10">
        <f>VLOOKUP(odpowiedzi[[#This Row],[Płeć]],plec[],2)</f>
        <v>2</v>
      </c>
      <c r="C78">
        <v>1</v>
      </c>
      <c r="D78" s="10" t="s">
        <v>8</v>
      </c>
      <c r="E78">
        <f>VLOOKUP(odpowiedzi[[#This Row],[Wydział]],wydzial[],2)</f>
        <v>33</v>
      </c>
      <c r="F78">
        <v>20</v>
      </c>
      <c r="G78" s="10" t="s">
        <v>27</v>
      </c>
      <c r="H78">
        <v>0</v>
      </c>
    </row>
    <row r="79" spans="1:8" x14ac:dyDescent="0.2">
      <c r="A79">
        <v>78</v>
      </c>
      <c r="B79" s="10">
        <f>VLOOKUP(odpowiedzi[[#This Row],[Płeć]],plec[],2)</f>
        <v>1</v>
      </c>
      <c r="C79">
        <v>0</v>
      </c>
      <c r="D79" s="10" t="s">
        <v>13</v>
      </c>
      <c r="E79">
        <f>VLOOKUP(odpowiedzi[[#This Row],[Wydział]],wydzial[],2)</f>
        <v>33</v>
      </c>
      <c r="F79">
        <v>20</v>
      </c>
      <c r="G79" s="10" t="s">
        <v>27</v>
      </c>
      <c r="H79">
        <v>1</v>
      </c>
    </row>
    <row r="80" spans="1:8" x14ac:dyDescent="0.2">
      <c r="A80">
        <v>79</v>
      </c>
      <c r="B80" s="10">
        <f>VLOOKUP(odpowiedzi[[#This Row],[Płeć]],plec[],2)</f>
        <v>2</v>
      </c>
      <c r="C80">
        <v>1</v>
      </c>
      <c r="D80" s="10" t="s">
        <v>8</v>
      </c>
      <c r="E80">
        <f>VLOOKUP(odpowiedzi[[#This Row],[Wydział]],wydzial[],2)</f>
        <v>33</v>
      </c>
      <c r="F80">
        <v>20</v>
      </c>
      <c r="G80" s="10" t="s">
        <v>27</v>
      </c>
      <c r="H80">
        <v>1</v>
      </c>
    </row>
    <row r="81" spans="1:8" x14ac:dyDescent="0.2">
      <c r="A81">
        <v>80</v>
      </c>
      <c r="B81" s="10">
        <f>VLOOKUP(odpowiedzi[[#This Row],[Płeć]],plec[],2)</f>
        <v>2</v>
      </c>
      <c r="C81">
        <v>1</v>
      </c>
      <c r="D81" s="10" t="s">
        <v>8</v>
      </c>
      <c r="E81">
        <f>VLOOKUP(odpowiedzi[[#This Row],[Wydział]],wydzial[],2)</f>
        <v>33</v>
      </c>
      <c r="F81">
        <v>20</v>
      </c>
      <c r="G81" s="10" t="s">
        <v>27</v>
      </c>
      <c r="H81">
        <v>1</v>
      </c>
    </row>
    <row r="82" spans="1:8" x14ac:dyDescent="0.2">
      <c r="A82">
        <v>81</v>
      </c>
      <c r="B82" s="10">
        <f>VLOOKUP(odpowiedzi[[#This Row],[Płeć]],plec[],2)</f>
        <v>2</v>
      </c>
      <c r="C82">
        <v>1</v>
      </c>
      <c r="D82" s="10" t="s">
        <v>8</v>
      </c>
      <c r="E82">
        <f>VLOOKUP(odpowiedzi[[#This Row],[Wydział]],wydzial[],2)</f>
        <v>33</v>
      </c>
      <c r="F82">
        <v>20</v>
      </c>
      <c r="G82" s="10" t="s">
        <v>27</v>
      </c>
      <c r="H82">
        <v>0</v>
      </c>
    </row>
    <row r="83" spans="1:8" x14ac:dyDescent="0.2">
      <c r="A83">
        <v>82</v>
      </c>
      <c r="B83" s="10">
        <f>VLOOKUP(odpowiedzi[[#This Row],[Płeć]],plec[],2)</f>
        <v>2</v>
      </c>
      <c r="C83">
        <v>1</v>
      </c>
      <c r="D83" s="10" t="s">
        <v>8</v>
      </c>
      <c r="E83">
        <f>VLOOKUP(odpowiedzi[[#This Row],[Wydział]],wydzial[],2)</f>
        <v>33</v>
      </c>
      <c r="F83">
        <v>20</v>
      </c>
      <c r="G83" s="10" t="s">
        <v>27</v>
      </c>
      <c r="H83">
        <v>0</v>
      </c>
    </row>
    <row r="84" spans="1:8" x14ac:dyDescent="0.2">
      <c r="A84">
        <v>83</v>
      </c>
      <c r="B84" s="10">
        <f>VLOOKUP(odpowiedzi[[#This Row],[Płeć]],plec[],2)</f>
        <v>2</v>
      </c>
      <c r="C84">
        <v>1</v>
      </c>
      <c r="D84" s="10" t="s">
        <v>8</v>
      </c>
      <c r="E84">
        <f>VLOOKUP(odpowiedzi[[#This Row],[Wydział]],wydzial[],2)</f>
        <v>33</v>
      </c>
      <c r="F84">
        <v>20</v>
      </c>
      <c r="G84" s="10" t="s">
        <v>27</v>
      </c>
      <c r="H84">
        <v>0</v>
      </c>
    </row>
    <row r="85" spans="1:8" x14ac:dyDescent="0.2">
      <c r="A85">
        <v>84</v>
      </c>
      <c r="B85" s="10">
        <f>VLOOKUP(odpowiedzi[[#This Row],[Płeć]],plec[],2)</f>
        <v>2</v>
      </c>
      <c r="C85">
        <v>1</v>
      </c>
      <c r="D85" s="10" t="s">
        <v>8</v>
      </c>
      <c r="E85">
        <f>VLOOKUP(odpowiedzi[[#This Row],[Wydział]],wydzial[],2)</f>
        <v>33</v>
      </c>
      <c r="F85">
        <v>20</v>
      </c>
      <c r="G85" s="10" t="s">
        <v>27</v>
      </c>
      <c r="H85">
        <v>1</v>
      </c>
    </row>
    <row r="86" spans="1:8" x14ac:dyDescent="0.2">
      <c r="A86">
        <v>85</v>
      </c>
      <c r="B86" s="10">
        <f>VLOOKUP(odpowiedzi[[#This Row],[Płeć]],plec[],2)</f>
        <v>1</v>
      </c>
      <c r="C86">
        <v>0</v>
      </c>
      <c r="D86" s="10" t="s">
        <v>13</v>
      </c>
      <c r="E86">
        <f>VLOOKUP(odpowiedzi[[#This Row],[Wydział]],wydzial[],2)</f>
        <v>33</v>
      </c>
      <c r="F86">
        <v>20</v>
      </c>
      <c r="G86" s="10" t="s">
        <v>27</v>
      </c>
      <c r="H86">
        <v>0</v>
      </c>
    </row>
    <row r="87" spans="1:8" x14ac:dyDescent="0.2">
      <c r="A87">
        <v>86</v>
      </c>
      <c r="B87" s="10">
        <f>VLOOKUP(odpowiedzi[[#This Row],[Płeć]],plec[],2)</f>
        <v>2</v>
      </c>
      <c r="C87">
        <v>1</v>
      </c>
      <c r="D87" s="10" t="s">
        <v>8</v>
      </c>
      <c r="E87">
        <f>VLOOKUP(odpowiedzi[[#This Row],[Wydział]],wydzial[],2)</f>
        <v>33</v>
      </c>
      <c r="F87">
        <v>20</v>
      </c>
      <c r="G87" s="10" t="s">
        <v>27</v>
      </c>
      <c r="H87">
        <v>1</v>
      </c>
    </row>
    <row r="88" spans="1:8" x14ac:dyDescent="0.2">
      <c r="A88">
        <v>87</v>
      </c>
      <c r="B88" s="10">
        <f>VLOOKUP(odpowiedzi[[#This Row],[Płeć]],plec[],2)</f>
        <v>2</v>
      </c>
      <c r="C88">
        <v>1</v>
      </c>
      <c r="D88" s="10" t="s">
        <v>8</v>
      </c>
      <c r="E88">
        <f>VLOOKUP(odpowiedzi[[#This Row],[Wydział]],wydzial[],2)</f>
        <v>33</v>
      </c>
      <c r="F88">
        <v>20</v>
      </c>
      <c r="G88" s="10" t="s">
        <v>27</v>
      </c>
      <c r="H88">
        <v>0</v>
      </c>
    </row>
    <row r="89" spans="1:8" x14ac:dyDescent="0.2">
      <c r="A89">
        <v>88</v>
      </c>
      <c r="B89" s="10">
        <f>VLOOKUP(odpowiedzi[[#This Row],[Płeć]],plec[],2)</f>
        <v>2</v>
      </c>
      <c r="C89">
        <v>0</v>
      </c>
      <c r="D89" s="10" t="s">
        <v>8</v>
      </c>
      <c r="E89">
        <f>VLOOKUP(odpowiedzi[[#This Row],[Wydział]],wydzial[],2)</f>
        <v>33</v>
      </c>
      <c r="F89">
        <v>20</v>
      </c>
      <c r="G89" s="10" t="s">
        <v>27</v>
      </c>
      <c r="H89">
        <v>0</v>
      </c>
    </row>
    <row r="90" spans="1:8" x14ac:dyDescent="0.2">
      <c r="A90">
        <v>89</v>
      </c>
      <c r="B90" s="10">
        <f>VLOOKUP(odpowiedzi[[#This Row],[Płeć]],plec[],2)</f>
        <v>2</v>
      </c>
      <c r="C90">
        <v>1</v>
      </c>
      <c r="D90" s="10" t="s">
        <v>8</v>
      </c>
      <c r="E90">
        <f>VLOOKUP(odpowiedzi[[#This Row],[Wydział]],wydzial[],2)</f>
        <v>33</v>
      </c>
      <c r="F90">
        <v>20</v>
      </c>
      <c r="G90" s="10" t="s">
        <v>27</v>
      </c>
      <c r="H90">
        <v>0</v>
      </c>
    </row>
    <row r="91" spans="1:8" x14ac:dyDescent="0.2">
      <c r="A91">
        <v>90</v>
      </c>
      <c r="B91" s="10">
        <f>VLOOKUP(odpowiedzi[[#This Row],[Płeć]],plec[],2)</f>
        <v>2</v>
      </c>
      <c r="C91">
        <v>1</v>
      </c>
      <c r="D91" s="10" t="s">
        <v>8</v>
      </c>
      <c r="E91">
        <f>VLOOKUP(odpowiedzi[[#This Row],[Wydział]],wydzial[],2)</f>
        <v>33</v>
      </c>
      <c r="F91">
        <v>20</v>
      </c>
      <c r="G91" s="10" t="s">
        <v>27</v>
      </c>
      <c r="H91">
        <v>0</v>
      </c>
    </row>
    <row r="92" spans="1:8" x14ac:dyDescent="0.2">
      <c r="A92">
        <v>91</v>
      </c>
      <c r="B92" s="10">
        <f>VLOOKUP(odpowiedzi[[#This Row],[Płeć]],plec[],2)</f>
        <v>2</v>
      </c>
      <c r="C92">
        <v>0</v>
      </c>
      <c r="D92" s="10" t="s">
        <v>8</v>
      </c>
      <c r="E92">
        <f>VLOOKUP(odpowiedzi[[#This Row],[Wydział]],wydzial[],2)</f>
        <v>33</v>
      </c>
      <c r="F92">
        <v>20</v>
      </c>
      <c r="G92" s="10" t="s">
        <v>27</v>
      </c>
      <c r="H92">
        <v>1</v>
      </c>
    </row>
    <row r="93" spans="1:8" x14ac:dyDescent="0.2">
      <c r="A93">
        <v>92</v>
      </c>
      <c r="B93" s="10">
        <f>VLOOKUP(odpowiedzi[[#This Row],[Płeć]],plec[],2)</f>
        <v>2</v>
      </c>
      <c r="C93">
        <v>1</v>
      </c>
      <c r="D93" s="10" t="s">
        <v>8</v>
      </c>
      <c r="E93">
        <f>VLOOKUP(odpowiedzi[[#This Row],[Wydział]],wydzial[],2)</f>
        <v>33</v>
      </c>
      <c r="F93">
        <v>20</v>
      </c>
      <c r="G93" s="10" t="s">
        <v>27</v>
      </c>
      <c r="H93">
        <v>1</v>
      </c>
    </row>
    <row r="94" spans="1:8" x14ac:dyDescent="0.2">
      <c r="A94">
        <v>93</v>
      </c>
      <c r="B94" s="10">
        <f>VLOOKUP(odpowiedzi[[#This Row],[Płeć]],plec[],2)</f>
        <v>2</v>
      </c>
      <c r="C94">
        <v>1</v>
      </c>
      <c r="D94" s="10" t="s">
        <v>8</v>
      </c>
      <c r="E94">
        <f>VLOOKUP(odpowiedzi[[#This Row],[Wydział]],wydzial[],2)</f>
        <v>4</v>
      </c>
      <c r="F94">
        <v>21</v>
      </c>
      <c r="G94" s="10" t="s">
        <v>157</v>
      </c>
      <c r="H94">
        <v>1</v>
      </c>
    </row>
    <row r="95" spans="1:8" x14ac:dyDescent="0.2">
      <c r="A95">
        <v>94</v>
      </c>
      <c r="B95" s="10">
        <f>VLOOKUP(odpowiedzi[[#This Row],[Płeć]],plec[],2)</f>
        <v>1</v>
      </c>
      <c r="C95">
        <v>0</v>
      </c>
      <c r="D95" s="10" t="s">
        <v>13</v>
      </c>
      <c r="E95">
        <f>VLOOKUP(odpowiedzi[[#This Row],[Wydział]],wydzial[],2)</f>
        <v>5</v>
      </c>
      <c r="F95">
        <v>21</v>
      </c>
      <c r="G95" s="10" t="s">
        <v>83</v>
      </c>
      <c r="H95">
        <v>0</v>
      </c>
    </row>
    <row r="96" spans="1:8" x14ac:dyDescent="0.2">
      <c r="A96">
        <v>95</v>
      </c>
      <c r="B96" s="10">
        <f>VLOOKUP(odpowiedzi[[#This Row],[Płeć]],plec[],2)</f>
        <v>1</v>
      </c>
      <c r="C96">
        <v>1</v>
      </c>
      <c r="D96" s="10" t="s">
        <v>13</v>
      </c>
      <c r="E96">
        <f>VLOOKUP(odpowiedzi[[#This Row],[Wydział]],wydzial[],2)</f>
        <v>5</v>
      </c>
      <c r="F96">
        <v>21</v>
      </c>
      <c r="G96" s="10" t="s">
        <v>83</v>
      </c>
      <c r="H96">
        <v>1</v>
      </c>
    </row>
    <row r="97" spans="1:8" x14ac:dyDescent="0.2">
      <c r="A97">
        <v>96</v>
      </c>
      <c r="B97" s="10">
        <f>VLOOKUP(odpowiedzi[[#This Row],[Płeć]],plec[],2)</f>
        <v>1</v>
      </c>
      <c r="C97">
        <v>0</v>
      </c>
      <c r="D97" s="10" t="s">
        <v>13</v>
      </c>
      <c r="E97">
        <f>VLOOKUP(odpowiedzi[[#This Row],[Wydział]],wydzial[],2)</f>
        <v>6</v>
      </c>
      <c r="F97">
        <v>21</v>
      </c>
      <c r="G97" s="10" t="s">
        <v>162</v>
      </c>
      <c r="H97">
        <v>0</v>
      </c>
    </row>
    <row r="98" spans="1:8" x14ac:dyDescent="0.2">
      <c r="A98">
        <v>97</v>
      </c>
      <c r="B98" s="10">
        <f>VLOOKUP(odpowiedzi[[#This Row],[Płeć]],plec[],2)</f>
        <v>2</v>
      </c>
      <c r="C98">
        <v>1</v>
      </c>
      <c r="D98" s="10" t="s">
        <v>8</v>
      </c>
      <c r="E98">
        <f>VLOOKUP(odpowiedzi[[#This Row],[Wydział]],wydzial[],2)</f>
        <v>7</v>
      </c>
      <c r="F98">
        <v>21</v>
      </c>
      <c r="G98" s="10" t="s">
        <v>51</v>
      </c>
      <c r="H98">
        <v>0</v>
      </c>
    </row>
    <row r="99" spans="1:8" x14ac:dyDescent="0.2">
      <c r="A99">
        <v>98</v>
      </c>
      <c r="B99" s="10">
        <f>VLOOKUP(odpowiedzi[[#This Row],[Płeć]],plec[],2)</f>
        <v>1</v>
      </c>
      <c r="C99">
        <v>1</v>
      </c>
      <c r="D99" s="10" t="s">
        <v>13</v>
      </c>
      <c r="E99">
        <f>VLOOKUP(odpowiedzi[[#This Row],[Wydział]],wydzial[],2)</f>
        <v>18</v>
      </c>
      <c r="F99">
        <v>21</v>
      </c>
      <c r="G99" s="10" t="s">
        <v>145</v>
      </c>
      <c r="H99">
        <v>1</v>
      </c>
    </row>
    <row r="100" spans="1:8" x14ac:dyDescent="0.2">
      <c r="A100">
        <v>99</v>
      </c>
      <c r="B100" s="10">
        <f>VLOOKUP(odpowiedzi[[#This Row],[Płeć]],plec[],2)</f>
        <v>2</v>
      </c>
      <c r="C100">
        <v>1</v>
      </c>
      <c r="D100" s="10" t="s">
        <v>8</v>
      </c>
      <c r="E100">
        <f>VLOOKUP(odpowiedzi[[#This Row],[Wydział]],wydzial[],2)</f>
        <v>18</v>
      </c>
      <c r="F100">
        <v>21</v>
      </c>
      <c r="G100" s="10" t="s">
        <v>145</v>
      </c>
      <c r="H100">
        <v>0</v>
      </c>
    </row>
    <row r="101" spans="1:8" x14ac:dyDescent="0.2">
      <c r="A101">
        <v>100</v>
      </c>
      <c r="B101" s="10">
        <f>VLOOKUP(odpowiedzi[[#This Row],[Płeć]],plec[],2)</f>
        <v>1</v>
      </c>
      <c r="C101">
        <v>1</v>
      </c>
      <c r="D101" s="10" t="s">
        <v>13</v>
      </c>
      <c r="E101">
        <f>VLOOKUP(odpowiedzi[[#This Row],[Wydział]],wydzial[],2)</f>
        <v>19</v>
      </c>
      <c r="F101">
        <v>21</v>
      </c>
      <c r="G101" s="10" t="s">
        <v>141</v>
      </c>
      <c r="H101">
        <v>0</v>
      </c>
    </row>
    <row r="102" spans="1:8" x14ac:dyDescent="0.2">
      <c r="A102">
        <v>101</v>
      </c>
      <c r="B102" s="10">
        <f>VLOOKUP(odpowiedzi[[#This Row],[Płeć]],plec[],2)</f>
        <v>2</v>
      </c>
      <c r="C102">
        <v>0</v>
      </c>
      <c r="D102" s="10" t="s">
        <v>8</v>
      </c>
      <c r="E102">
        <f>VLOOKUP(odpowiedzi[[#This Row],[Wydział]],wydzial[],2)</f>
        <v>19</v>
      </c>
      <c r="F102">
        <v>21</v>
      </c>
      <c r="G102" s="10" t="s">
        <v>141</v>
      </c>
      <c r="H102">
        <v>0</v>
      </c>
    </row>
    <row r="103" spans="1:8" x14ac:dyDescent="0.2">
      <c r="A103">
        <v>102</v>
      </c>
      <c r="B103" s="10">
        <f>VLOOKUP(odpowiedzi[[#This Row],[Płeć]],plec[],2)</f>
        <v>2</v>
      </c>
      <c r="C103">
        <v>0</v>
      </c>
      <c r="D103" s="10" t="s">
        <v>8</v>
      </c>
      <c r="E103">
        <f>VLOOKUP(odpowiedzi[[#This Row],[Wydział]],wydzial[],2)</f>
        <v>19</v>
      </c>
      <c r="F103">
        <v>21</v>
      </c>
      <c r="G103" s="10" t="s">
        <v>141</v>
      </c>
      <c r="H103">
        <v>0</v>
      </c>
    </row>
    <row r="104" spans="1:8" x14ac:dyDescent="0.2">
      <c r="A104">
        <v>103</v>
      </c>
      <c r="B104" s="10">
        <f>VLOOKUP(odpowiedzi[[#This Row],[Płeć]],plec[],2)</f>
        <v>2</v>
      </c>
      <c r="C104">
        <v>1</v>
      </c>
      <c r="D104" s="10" t="s">
        <v>8</v>
      </c>
      <c r="E104">
        <f>VLOOKUP(odpowiedzi[[#This Row],[Wydział]],wydzial[],2)</f>
        <v>19</v>
      </c>
      <c r="F104">
        <v>21</v>
      </c>
      <c r="G104" s="10" t="s">
        <v>141</v>
      </c>
      <c r="H104">
        <v>1</v>
      </c>
    </row>
    <row r="105" spans="1:8" x14ac:dyDescent="0.2">
      <c r="A105">
        <v>104</v>
      </c>
      <c r="B105" s="10">
        <f>VLOOKUP(odpowiedzi[[#This Row],[Płeć]],plec[],2)</f>
        <v>2</v>
      </c>
      <c r="C105">
        <v>1</v>
      </c>
      <c r="D105" s="10" t="s">
        <v>8</v>
      </c>
      <c r="E105">
        <f>VLOOKUP(odpowiedzi[[#This Row],[Wydział]],wydzial[],2)</f>
        <v>19</v>
      </c>
      <c r="F105">
        <v>21</v>
      </c>
      <c r="G105" s="10" t="s">
        <v>141</v>
      </c>
      <c r="H105">
        <v>1</v>
      </c>
    </row>
    <row r="106" spans="1:8" x14ac:dyDescent="0.2">
      <c r="A106">
        <v>105</v>
      </c>
      <c r="B106" s="10">
        <f>VLOOKUP(odpowiedzi[[#This Row],[Płeć]],plec[],2)</f>
        <v>2</v>
      </c>
      <c r="C106">
        <v>1</v>
      </c>
      <c r="D106" s="10" t="s">
        <v>8</v>
      </c>
      <c r="E106">
        <f>VLOOKUP(odpowiedzi[[#This Row],[Wydział]],wydzial[],2)</f>
        <v>19</v>
      </c>
      <c r="F106">
        <v>21</v>
      </c>
      <c r="G106" s="10" t="s">
        <v>141</v>
      </c>
      <c r="H106">
        <v>1</v>
      </c>
    </row>
    <row r="107" spans="1:8" x14ac:dyDescent="0.2">
      <c r="A107">
        <v>106</v>
      </c>
      <c r="B107" s="10">
        <f>VLOOKUP(odpowiedzi[[#This Row],[Płeć]],plec[],2)</f>
        <v>2</v>
      </c>
      <c r="C107">
        <v>0</v>
      </c>
      <c r="D107" s="10" t="s">
        <v>8</v>
      </c>
      <c r="E107">
        <f>VLOOKUP(odpowiedzi[[#This Row],[Wydział]],wydzial[],2)</f>
        <v>19</v>
      </c>
      <c r="F107">
        <v>21</v>
      </c>
      <c r="G107" s="10" t="s">
        <v>141</v>
      </c>
      <c r="H107">
        <v>0</v>
      </c>
    </row>
    <row r="108" spans="1:8" x14ac:dyDescent="0.2">
      <c r="A108">
        <v>107</v>
      </c>
      <c r="B108" s="10">
        <f>VLOOKUP(odpowiedzi[[#This Row],[Płeć]],plec[],2)</f>
        <v>2</v>
      </c>
      <c r="C108">
        <v>1</v>
      </c>
      <c r="D108" s="10" t="s">
        <v>8</v>
      </c>
      <c r="E108">
        <f>VLOOKUP(odpowiedzi[[#This Row],[Wydział]],wydzial[],2)</f>
        <v>19</v>
      </c>
      <c r="F108">
        <v>21</v>
      </c>
      <c r="G108" s="10" t="s">
        <v>141</v>
      </c>
      <c r="H108">
        <v>1</v>
      </c>
    </row>
    <row r="109" spans="1:8" x14ac:dyDescent="0.2">
      <c r="A109">
        <v>108</v>
      </c>
      <c r="B109" s="10">
        <f>VLOOKUP(odpowiedzi[[#This Row],[Płeć]],plec[],2)</f>
        <v>2</v>
      </c>
      <c r="C109">
        <v>1</v>
      </c>
      <c r="D109" s="10" t="s">
        <v>8</v>
      </c>
      <c r="E109">
        <f>VLOOKUP(odpowiedzi[[#This Row],[Wydział]],wydzial[],2)</f>
        <v>19</v>
      </c>
      <c r="F109">
        <v>21</v>
      </c>
      <c r="G109" s="10" t="s">
        <v>141</v>
      </c>
      <c r="H109">
        <v>0</v>
      </c>
    </row>
    <row r="110" spans="1:8" x14ac:dyDescent="0.2">
      <c r="A110">
        <v>109</v>
      </c>
      <c r="B110" s="10">
        <f>VLOOKUP(odpowiedzi[[#This Row],[Płeć]],plec[],2)</f>
        <v>2</v>
      </c>
      <c r="C110">
        <v>1</v>
      </c>
      <c r="D110" s="10" t="s">
        <v>8</v>
      </c>
      <c r="E110">
        <f>VLOOKUP(odpowiedzi[[#This Row],[Wydział]],wydzial[],2)</f>
        <v>20</v>
      </c>
      <c r="F110">
        <v>21</v>
      </c>
      <c r="G110" s="10" t="s">
        <v>153</v>
      </c>
      <c r="H110">
        <v>0</v>
      </c>
    </row>
    <row r="111" spans="1:8" x14ac:dyDescent="0.2">
      <c r="A111">
        <v>110</v>
      </c>
      <c r="B111" s="10">
        <f>VLOOKUP(odpowiedzi[[#This Row],[Płeć]],plec[],2)</f>
        <v>2</v>
      </c>
      <c r="C111">
        <v>1</v>
      </c>
      <c r="D111" s="10" t="s">
        <v>8</v>
      </c>
      <c r="E111">
        <f>VLOOKUP(odpowiedzi[[#This Row],[Wydział]],wydzial[],2)</f>
        <v>21</v>
      </c>
      <c r="F111">
        <v>21</v>
      </c>
      <c r="G111" s="10" t="s">
        <v>76</v>
      </c>
      <c r="H111">
        <v>1</v>
      </c>
    </row>
    <row r="112" spans="1:8" x14ac:dyDescent="0.2">
      <c r="A112">
        <v>111</v>
      </c>
      <c r="B112" s="10">
        <f>VLOOKUP(odpowiedzi[[#This Row],[Płeć]],plec[],2)</f>
        <v>1</v>
      </c>
      <c r="C112">
        <v>0</v>
      </c>
      <c r="D112" s="10" t="s">
        <v>13</v>
      </c>
      <c r="E112">
        <f>VLOOKUP(odpowiedzi[[#This Row],[Wydział]],wydzial[],2)</f>
        <v>21</v>
      </c>
      <c r="F112">
        <v>21</v>
      </c>
      <c r="G112" s="10" t="s">
        <v>76</v>
      </c>
      <c r="H112">
        <v>0</v>
      </c>
    </row>
    <row r="113" spans="1:8" x14ac:dyDescent="0.2">
      <c r="A113">
        <v>112</v>
      </c>
      <c r="B113" s="10">
        <f>VLOOKUP(odpowiedzi[[#This Row],[Płeć]],plec[],2)</f>
        <v>2</v>
      </c>
      <c r="C113">
        <v>1</v>
      </c>
      <c r="D113" s="10" t="s">
        <v>8</v>
      </c>
      <c r="E113">
        <f>VLOOKUP(odpowiedzi[[#This Row],[Wydział]],wydzial[],2)</f>
        <v>21</v>
      </c>
      <c r="F113">
        <v>21</v>
      </c>
      <c r="G113" s="10" t="s">
        <v>76</v>
      </c>
      <c r="H113">
        <v>0</v>
      </c>
    </row>
    <row r="114" spans="1:8" x14ac:dyDescent="0.2">
      <c r="A114">
        <v>113</v>
      </c>
      <c r="B114" s="10">
        <f>VLOOKUP(odpowiedzi[[#This Row],[Płeć]],plec[],2)</f>
        <v>2</v>
      </c>
      <c r="C114">
        <v>1</v>
      </c>
      <c r="D114" s="10" t="s">
        <v>8</v>
      </c>
      <c r="E114">
        <f>VLOOKUP(odpowiedzi[[#This Row],[Wydział]],wydzial[],2)</f>
        <v>21</v>
      </c>
      <c r="F114">
        <v>21</v>
      </c>
      <c r="G114" s="10" t="s">
        <v>76</v>
      </c>
      <c r="H114">
        <v>1</v>
      </c>
    </row>
    <row r="115" spans="1:8" x14ac:dyDescent="0.2">
      <c r="A115">
        <v>114</v>
      </c>
      <c r="B115" s="10">
        <f>VLOOKUP(odpowiedzi[[#This Row],[Płeć]],plec[],2)</f>
        <v>2</v>
      </c>
      <c r="C115">
        <v>1</v>
      </c>
      <c r="D115" s="10" t="s">
        <v>8</v>
      </c>
      <c r="E115">
        <f>VLOOKUP(odpowiedzi[[#This Row],[Wydział]],wydzial[],2)</f>
        <v>21</v>
      </c>
      <c r="F115">
        <v>21</v>
      </c>
      <c r="G115" s="10" t="s">
        <v>76</v>
      </c>
      <c r="H115">
        <v>1</v>
      </c>
    </row>
    <row r="116" spans="1:8" x14ac:dyDescent="0.2">
      <c r="A116">
        <v>115</v>
      </c>
      <c r="B116" s="10">
        <f>VLOOKUP(odpowiedzi[[#This Row],[Płeć]],plec[],2)</f>
        <v>2</v>
      </c>
      <c r="C116">
        <v>1</v>
      </c>
      <c r="D116" s="10" t="s">
        <v>8</v>
      </c>
      <c r="E116">
        <f>VLOOKUP(odpowiedzi[[#This Row],[Wydział]],wydzial[],2)</f>
        <v>22</v>
      </c>
      <c r="F116">
        <v>21</v>
      </c>
      <c r="G116" s="10" t="s">
        <v>69</v>
      </c>
      <c r="H116">
        <v>1</v>
      </c>
    </row>
    <row r="117" spans="1:8" x14ac:dyDescent="0.2">
      <c r="A117">
        <v>116</v>
      </c>
      <c r="B117" s="10">
        <f>VLOOKUP(odpowiedzi[[#This Row],[Płeć]],plec[],2)</f>
        <v>1</v>
      </c>
      <c r="C117">
        <v>0</v>
      </c>
      <c r="D117" s="10" t="s">
        <v>13</v>
      </c>
      <c r="E117">
        <f>VLOOKUP(odpowiedzi[[#This Row],[Wydział]],wydzial[],2)</f>
        <v>22</v>
      </c>
      <c r="F117">
        <v>21</v>
      </c>
      <c r="G117" s="10" t="s">
        <v>69</v>
      </c>
      <c r="H117">
        <v>1</v>
      </c>
    </row>
    <row r="118" spans="1:8" x14ac:dyDescent="0.2">
      <c r="A118">
        <v>117</v>
      </c>
      <c r="B118" s="10">
        <f>VLOOKUP(odpowiedzi[[#This Row],[Płeć]],plec[],2)</f>
        <v>2</v>
      </c>
      <c r="C118">
        <v>1</v>
      </c>
      <c r="D118" s="10" t="s">
        <v>8</v>
      </c>
      <c r="E118">
        <f>VLOOKUP(odpowiedzi[[#This Row],[Wydział]],wydzial[],2)</f>
        <v>22</v>
      </c>
      <c r="F118">
        <v>21</v>
      </c>
      <c r="G118" s="10" t="s">
        <v>69</v>
      </c>
      <c r="H118">
        <v>1</v>
      </c>
    </row>
    <row r="119" spans="1:8" x14ac:dyDescent="0.2">
      <c r="A119">
        <v>118</v>
      </c>
      <c r="B119" s="10">
        <f>VLOOKUP(odpowiedzi[[#This Row],[Płeć]],plec[],2)</f>
        <v>2</v>
      </c>
      <c r="C119">
        <v>0</v>
      </c>
      <c r="D119" s="10" t="s">
        <v>8</v>
      </c>
      <c r="E119">
        <f>VLOOKUP(odpowiedzi[[#This Row],[Wydział]],wydzial[],2)</f>
        <v>22</v>
      </c>
      <c r="F119">
        <v>21</v>
      </c>
      <c r="G119" s="10" t="s">
        <v>69</v>
      </c>
      <c r="H119">
        <v>0</v>
      </c>
    </row>
    <row r="120" spans="1:8" x14ac:dyDescent="0.2">
      <c r="A120">
        <v>119</v>
      </c>
      <c r="B120" s="10">
        <f>VLOOKUP(odpowiedzi[[#This Row],[Płeć]],plec[],2)</f>
        <v>2</v>
      </c>
      <c r="C120">
        <v>1</v>
      </c>
      <c r="D120" s="10" t="s">
        <v>8</v>
      </c>
      <c r="E120">
        <f>VLOOKUP(odpowiedzi[[#This Row],[Wydział]],wydzial[],2)</f>
        <v>25</v>
      </c>
      <c r="F120">
        <v>21</v>
      </c>
      <c r="G120" s="10" t="s">
        <v>154</v>
      </c>
      <c r="H120">
        <v>1</v>
      </c>
    </row>
    <row r="121" spans="1:8" x14ac:dyDescent="0.2">
      <c r="A121">
        <v>120</v>
      </c>
      <c r="B121" s="10">
        <f>VLOOKUP(odpowiedzi[[#This Row],[Płeć]],plec[],2)</f>
        <v>1</v>
      </c>
      <c r="C121">
        <v>0</v>
      </c>
      <c r="D121" s="10" t="s">
        <v>13</v>
      </c>
      <c r="E121">
        <f>VLOOKUP(odpowiedzi[[#This Row],[Wydział]],wydzial[],2)</f>
        <v>26</v>
      </c>
      <c r="F121">
        <v>21</v>
      </c>
      <c r="G121" s="10" t="s">
        <v>62</v>
      </c>
      <c r="H121">
        <v>0</v>
      </c>
    </row>
    <row r="122" spans="1:8" x14ac:dyDescent="0.2">
      <c r="A122">
        <v>121</v>
      </c>
      <c r="B122" s="10">
        <f>VLOOKUP(odpowiedzi[[#This Row],[Płeć]],plec[],2)</f>
        <v>2</v>
      </c>
      <c r="C122">
        <v>1</v>
      </c>
      <c r="D122" s="10" t="s">
        <v>8</v>
      </c>
      <c r="E122">
        <f>VLOOKUP(odpowiedzi[[#This Row],[Wydział]],wydzial[],2)</f>
        <v>28</v>
      </c>
      <c r="F122">
        <v>21</v>
      </c>
      <c r="G122" s="10" t="s">
        <v>146</v>
      </c>
      <c r="H122">
        <v>0</v>
      </c>
    </row>
    <row r="123" spans="1:8" x14ac:dyDescent="0.2">
      <c r="A123">
        <v>122</v>
      </c>
      <c r="B123" s="10">
        <f>VLOOKUP(odpowiedzi[[#This Row],[Płeć]],plec[],2)</f>
        <v>2</v>
      </c>
      <c r="C123">
        <v>0</v>
      </c>
      <c r="D123" s="10" t="s">
        <v>8</v>
      </c>
      <c r="E123">
        <f>VLOOKUP(odpowiedzi[[#This Row],[Wydział]],wydzial[],2)</f>
        <v>28</v>
      </c>
      <c r="F123">
        <v>21</v>
      </c>
      <c r="G123" s="10" t="s">
        <v>146</v>
      </c>
      <c r="H123">
        <v>0</v>
      </c>
    </row>
    <row r="124" spans="1:8" x14ac:dyDescent="0.2">
      <c r="A124">
        <v>123</v>
      </c>
      <c r="B124" s="10">
        <f>VLOOKUP(odpowiedzi[[#This Row],[Płeć]],plec[],2)</f>
        <v>2</v>
      </c>
      <c r="C124">
        <v>1</v>
      </c>
      <c r="D124" s="10" t="s">
        <v>8</v>
      </c>
      <c r="E124">
        <f>VLOOKUP(odpowiedzi[[#This Row],[Wydział]],wydzial[],2)</f>
        <v>28</v>
      </c>
      <c r="F124">
        <v>21</v>
      </c>
      <c r="G124" s="10" t="s">
        <v>146</v>
      </c>
      <c r="H124">
        <v>1</v>
      </c>
    </row>
    <row r="125" spans="1:8" x14ac:dyDescent="0.2">
      <c r="A125">
        <v>124</v>
      </c>
      <c r="B125" s="10">
        <f>VLOOKUP(odpowiedzi[[#This Row],[Płeć]],plec[],2)</f>
        <v>2</v>
      </c>
      <c r="C125">
        <v>1</v>
      </c>
      <c r="D125" s="10" t="s">
        <v>8</v>
      </c>
      <c r="E125">
        <f>VLOOKUP(odpowiedzi[[#This Row],[Wydział]],wydzial[],2)</f>
        <v>28</v>
      </c>
      <c r="F125">
        <v>21</v>
      </c>
      <c r="G125" s="10" t="s">
        <v>146</v>
      </c>
      <c r="H125">
        <v>1</v>
      </c>
    </row>
    <row r="126" spans="1:8" x14ac:dyDescent="0.2">
      <c r="A126">
        <v>125</v>
      </c>
      <c r="B126" s="10">
        <f>VLOOKUP(odpowiedzi[[#This Row],[Płeć]],plec[],2)</f>
        <v>2</v>
      </c>
      <c r="C126">
        <v>0</v>
      </c>
      <c r="D126" s="10" t="s">
        <v>8</v>
      </c>
      <c r="E126">
        <f>VLOOKUP(odpowiedzi[[#This Row],[Wydział]],wydzial[],2)</f>
        <v>29</v>
      </c>
      <c r="F126">
        <v>21</v>
      </c>
      <c r="G126" s="10" t="s">
        <v>56</v>
      </c>
      <c r="H126">
        <v>0</v>
      </c>
    </row>
    <row r="127" spans="1:8" x14ac:dyDescent="0.2">
      <c r="A127">
        <v>126</v>
      </c>
      <c r="B127" s="10">
        <f>VLOOKUP(odpowiedzi[[#This Row],[Płeć]],plec[],2)</f>
        <v>2</v>
      </c>
      <c r="C127">
        <v>1</v>
      </c>
      <c r="D127" s="10" t="s">
        <v>8</v>
      </c>
      <c r="E127">
        <f>VLOOKUP(odpowiedzi[[#This Row],[Wydział]],wydzial[],2)</f>
        <v>29</v>
      </c>
      <c r="F127">
        <v>21</v>
      </c>
      <c r="G127" s="10" t="s">
        <v>56</v>
      </c>
      <c r="H127">
        <v>0</v>
      </c>
    </row>
    <row r="128" spans="1:8" x14ac:dyDescent="0.2">
      <c r="A128">
        <v>127</v>
      </c>
      <c r="B128" s="10">
        <f>VLOOKUP(odpowiedzi[[#This Row],[Płeć]],plec[],2)</f>
        <v>2</v>
      </c>
      <c r="C128">
        <v>1</v>
      </c>
      <c r="D128" s="10" t="s">
        <v>8</v>
      </c>
      <c r="E128">
        <f>VLOOKUP(odpowiedzi[[#This Row],[Wydział]],wydzial[],2)</f>
        <v>29</v>
      </c>
      <c r="F128">
        <v>21</v>
      </c>
      <c r="G128" s="10" t="s">
        <v>56</v>
      </c>
      <c r="H128">
        <v>1</v>
      </c>
    </row>
    <row r="129" spans="1:8" x14ac:dyDescent="0.2">
      <c r="A129">
        <v>128</v>
      </c>
      <c r="B129" s="10">
        <f>VLOOKUP(odpowiedzi[[#This Row],[Płeć]],plec[],2)</f>
        <v>2</v>
      </c>
      <c r="C129">
        <v>1</v>
      </c>
      <c r="D129" s="10" t="s">
        <v>8</v>
      </c>
      <c r="E129">
        <f>VLOOKUP(odpowiedzi[[#This Row],[Wydział]],wydzial[],2)</f>
        <v>30</v>
      </c>
      <c r="F129">
        <v>21</v>
      </c>
      <c r="G129" s="10" t="s">
        <v>159</v>
      </c>
      <c r="H129">
        <v>0</v>
      </c>
    </row>
    <row r="130" spans="1:8" x14ac:dyDescent="0.2">
      <c r="A130">
        <v>129</v>
      </c>
      <c r="B130" s="10">
        <f>VLOOKUP(odpowiedzi[[#This Row],[Płeć]],plec[],2)</f>
        <v>2</v>
      </c>
      <c r="C130">
        <v>1</v>
      </c>
      <c r="D130" s="10" t="s">
        <v>8</v>
      </c>
      <c r="E130">
        <f>VLOOKUP(odpowiedzi[[#This Row],[Wydział]],wydzial[],2)</f>
        <v>31</v>
      </c>
      <c r="F130">
        <v>21</v>
      </c>
      <c r="G130" s="10" t="s">
        <v>155</v>
      </c>
      <c r="H130">
        <v>0</v>
      </c>
    </row>
    <row r="131" spans="1:8" x14ac:dyDescent="0.2">
      <c r="A131">
        <v>130</v>
      </c>
      <c r="B131" s="10">
        <f>VLOOKUP(odpowiedzi[[#This Row],[Płeć]],plec[],2)</f>
        <v>2</v>
      </c>
      <c r="C131">
        <v>1</v>
      </c>
      <c r="D131" s="10" t="s">
        <v>8</v>
      </c>
      <c r="E131">
        <f>VLOOKUP(odpowiedzi[[#This Row],[Wydział]],wydzial[],2)</f>
        <v>33</v>
      </c>
      <c r="F131">
        <v>21</v>
      </c>
      <c r="G131" s="10" t="s">
        <v>27</v>
      </c>
      <c r="H131">
        <v>0</v>
      </c>
    </row>
    <row r="132" spans="1:8" x14ac:dyDescent="0.2">
      <c r="A132">
        <v>131</v>
      </c>
      <c r="B132" s="10">
        <f>VLOOKUP(odpowiedzi[[#This Row],[Płeć]],plec[],2)</f>
        <v>2</v>
      </c>
      <c r="C132">
        <v>1</v>
      </c>
      <c r="D132" s="10" t="s">
        <v>8</v>
      </c>
      <c r="E132">
        <f>VLOOKUP(odpowiedzi[[#This Row],[Wydział]],wydzial[],2)</f>
        <v>33</v>
      </c>
      <c r="F132">
        <v>21</v>
      </c>
      <c r="G132" s="10" t="s">
        <v>27</v>
      </c>
      <c r="H132">
        <v>1</v>
      </c>
    </row>
    <row r="133" spans="1:8" x14ac:dyDescent="0.2">
      <c r="A133">
        <v>132</v>
      </c>
      <c r="B133" s="10">
        <f>VLOOKUP(odpowiedzi[[#This Row],[Płeć]],plec[],2)</f>
        <v>2</v>
      </c>
      <c r="C133">
        <v>1</v>
      </c>
      <c r="D133" s="10" t="s">
        <v>8</v>
      </c>
      <c r="E133">
        <f>VLOOKUP(odpowiedzi[[#This Row],[Wydział]],wydzial[],2)</f>
        <v>33</v>
      </c>
      <c r="F133">
        <v>21</v>
      </c>
      <c r="G133" s="10" t="s">
        <v>27</v>
      </c>
      <c r="H133">
        <v>0</v>
      </c>
    </row>
    <row r="134" spans="1:8" x14ac:dyDescent="0.2">
      <c r="A134">
        <v>133</v>
      </c>
      <c r="B134" s="10">
        <f>VLOOKUP(odpowiedzi[[#This Row],[Płeć]],plec[],2)</f>
        <v>2</v>
      </c>
      <c r="C134">
        <v>1</v>
      </c>
      <c r="D134" s="10" t="s">
        <v>8</v>
      </c>
      <c r="E134">
        <f>VLOOKUP(odpowiedzi[[#This Row],[Wydział]],wydzial[],2)</f>
        <v>33</v>
      </c>
      <c r="F134">
        <v>21</v>
      </c>
      <c r="G134" s="10" t="s">
        <v>27</v>
      </c>
      <c r="H134">
        <v>0</v>
      </c>
    </row>
    <row r="135" spans="1:8" x14ac:dyDescent="0.2">
      <c r="A135">
        <v>134</v>
      </c>
      <c r="B135" s="10">
        <f>VLOOKUP(odpowiedzi[[#This Row],[Płeć]],plec[],2)</f>
        <v>2</v>
      </c>
      <c r="C135">
        <v>0</v>
      </c>
      <c r="D135" s="10" t="s">
        <v>8</v>
      </c>
      <c r="E135">
        <f>VLOOKUP(odpowiedzi[[#This Row],[Wydział]],wydzial[],2)</f>
        <v>33</v>
      </c>
      <c r="F135">
        <v>21</v>
      </c>
      <c r="G135" s="10" t="s">
        <v>27</v>
      </c>
      <c r="H135">
        <v>1</v>
      </c>
    </row>
    <row r="136" spans="1:8" x14ac:dyDescent="0.2">
      <c r="A136">
        <v>135</v>
      </c>
      <c r="B136" s="10">
        <f>VLOOKUP(odpowiedzi[[#This Row],[Płeć]],plec[],2)</f>
        <v>2</v>
      </c>
      <c r="C136">
        <v>1</v>
      </c>
      <c r="D136" s="10" t="s">
        <v>8</v>
      </c>
      <c r="E136">
        <f>VLOOKUP(odpowiedzi[[#This Row],[Wydział]],wydzial[],2)</f>
        <v>33</v>
      </c>
      <c r="F136">
        <v>21</v>
      </c>
      <c r="G136" s="10" t="s">
        <v>27</v>
      </c>
      <c r="H136">
        <v>1</v>
      </c>
    </row>
    <row r="137" spans="1:8" x14ac:dyDescent="0.2">
      <c r="A137">
        <v>136</v>
      </c>
      <c r="B137" s="10">
        <f>VLOOKUP(odpowiedzi[[#This Row],[Płeć]],plec[],2)</f>
        <v>2</v>
      </c>
      <c r="C137">
        <v>0</v>
      </c>
      <c r="D137" s="10" t="s">
        <v>8</v>
      </c>
      <c r="E137">
        <f>VLOOKUP(odpowiedzi[[#This Row],[Wydział]],wydzial[],2)</f>
        <v>33</v>
      </c>
      <c r="F137">
        <v>21</v>
      </c>
      <c r="G137" s="10" t="s">
        <v>27</v>
      </c>
      <c r="H137">
        <v>0</v>
      </c>
    </row>
    <row r="138" spans="1:8" x14ac:dyDescent="0.2">
      <c r="A138">
        <v>137</v>
      </c>
      <c r="B138" s="10">
        <f>VLOOKUP(odpowiedzi[[#This Row],[Płeć]],plec[],2)</f>
        <v>2</v>
      </c>
      <c r="C138">
        <v>1</v>
      </c>
      <c r="D138" s="10" t="s">
        <v>8</v>
      </c>
      <c r="E138">
        <f>VLOOKUP(odpowiedzi[[#This Row],[Wydział]],wydzial[],2)</f>
        <v>33</v>
      </c>
      <c r="F138">
        <v>21</v>
      </c>
      <c r="G138" s="10" t="s">
        <v>27</v>
      </c>
      <c r="H138">
        <v>1</v>
      </c>
    </row>
    <row r="139" spans="1:8" x14ac:dyDescent="0.2">
      <c r="A139">
        <v>138</v>
      </c>
      <c r="B139" s="10">
        <f>VLOOKUP(odpowiedzi[[#This Row],[Płeć]],plec[],2)</f>
        <v>2</v>
      </c>
      <c r="C139">
        <v>1</v>
      </c>
      <c r="D139" s="10" t="s">
        <v>8</v>
      </c>
      <c r="E139">
        <f>VLOOKUP(odpowiedzi[[#This Row],[Wydział]],wydzial[],2)</f>
        <v>33</v>
      </c>
      <c r="F139">
        <v>21</v>
      </c>
      <c r="G139" s="10" t="s">
        <v>27</v>
      </c>
      <c r="H139">
        <v>1</v>
      </c>
    </row>
    <row r="140" spans="1:8" x14ac:dyDescent="0.2">
      <c r="A140">
        <v>139</v>
      </c>
      <c r="B140" s="10">
        <f>VLOOKUP(odpowiedzi[[#This Row],[Płeć]],plec[],2)</f>
        <v>2</v>
      </c>
      <c r="C140">
        <v>1</v>
      </c>
      <c r="D140" s="10" t="s">
        <v>8</v>
      </c>
      <c r="E140">
        <f>VLOOKUP(odpowiedzi[[#This Row],[Wydział]],wydzial[],2)</f>
        <v>33</v>
      </c>
      <c r="F140">
        <v>21</v>
      </c>
      <c r="G140" s="10" t="s">
        <v>27</v>
      </c>
      <c r="H140">
        <v>0</v>
      </c>
    </row>
    <row r="141" spans="1:8" x14ac:dyDescent="0.2">
      <c r="A141">
        <v>140</v>
      </c>
      <c r="B141" s="10">
        <f>VLOOKUP(odpowiedzi[[#This Row],[Płeć]],plec[],2)</f>
        <v>2</v>
      </c>
      <c r="C141">
        <v>0</v>
      </c>
      <c r="D141" s="10" t="s">
        <v>8</v>
      </c>
      <c r="E141">
        <f>VLOOKUP(odpowiedzi[[#This Row],[Wydział]],wydzial[],2)</f>
        <v>2</v>
      </c>
      <c r="F141">
        <v>22</v>
      </c>
      <c r="G141" s="10" t="s">
        <v>147</v>
      </c>
      <c r="H141">
        <v>0</v>
      </c>
    </row>
    <row r="142" spans="1:8" x14ac:dyDescent="0.2">
      <c r="A142">
        <v>141</v>
      </c>
      <c r="B142" s="10">
        <f>VLOOKUP(odpowiedzi[[#This Row],[Płeć]],plec[],2)</f>
        <v>2</v>
      </c>
      <c r="C142">
        <v>1</v>
      </c>
      <c r="D142" s="10" t="s">
        <v>8</v>
      </c>
      <c r="E142">
        <f>VLOOKUP(odpowiedzi[[#This Row],[Wydział]],wydzial[],2)</f>
        <v>3</v>
      </c>
      <c r="F142">
        <v>22</v>
      </c>
      <c r="G142" s="10" t="s">
        <v>142</v>
      </c>
      <c r="H142">
        <v>0</v>
      </c>
    </row>
    <row r="143" spans="1:8" x14ac:dyDescent="0.2">
      <c r="A143">
        <v>142</v>
      </c>
      <c r="B143" s="10">
        <f>VLOOKUP(odpowiedzi[[#This Row],[Płeć]],plec[],2)</f>
        <v>2</v>
      </c>
      <c r="C143">
        <v>1</v>
      </c>
      <c r="D143" s="10" t="s">
        <v>8</v>
      </c>
      <c r="E143">
        <f>VLOOKUP(odpowiedzi[[#This Row],[Wydział]],wydzial[],2)</f>
        <v>5</v>
      </c>
      <c r="F143">
        <v>22</v>
      </c>
      <c r="G143" s="10" t="s">
        <v>83</v>
      </c>
      <c r="H143">
        <v>1</v>
      </c>
    </row>
    <row r="144" spans="1:8" x14ac:dyDescent="0.2">
      <c r="A144">
        <v>143</v>
      </c>
      <c r="B144" s="10">
        <f>VLOOKUP(odpowiedzi[[#This Row],[Płeć]],plec[],2)</f>
        <v>2</v>
      </c>
      <c r="C144">
        <v>1</v>
      </c>
      <c r="D144" s="10" t="s">
        <v>8</v>
      </c>
      <c r="E144">
        <f>VLOOKUP(odpowiedzi[[#This Row],[Wydział]],wydzial[],2)</f>
        <v>5</v>
      </c>
      <c r="F144">
        <v>22</v>
      </c>
      <c r="G144" s="10" t="s">
        <v>83</v>
      </c>
      <c r="H144">
        <v>0</v>
      </c>
    </row>
    <row r="145" spans="1:8" x14ac:dyDescent="0.2">
      <c r="A145">
        <v>144</v>
      </c>
      <c r="B145" s="10">
        <f>VLOOKUP(odpowiedzi[[#This Row],[Płeć]],plec[],2)</f>
        <v>2</v>
      </c>
      <c r="C145">
        <v>1</v>
      </c>
      <c r="D145" s="10" t="s">
        <v>8</v>
      </c>
      <c r="E145">
        <f>VLOOKUP(odpowiedzi[[#This Row],[Wydział]],wydzial[],2)</f>
        <v>5</v>
      </c>
      <c r="F145">
        <v>22</v>
      </c>
      <c r="G145" s="10" t="s">
        <v>83</v>
      </c>
      <c r="H145">
        <v>0</v>
      </c>
    </row>
    <row r="146" spans="1:8" x14ac:dyDescent="0.2">
      <c r="A146">
        <v>145</v>
      </c>
      <c r="B146" s="10">
        <f>VLOOKUP(odpowiedzi[[#This Row],[Płeć]],plec[],2)</f>
        <v>1</v>
      </c>
      <c r="C146">
        <v>1</v>
      </c>
      <c r="D146" s="10" t="s">
        <v>13</v>
      </c>
      <c r="E146">
        <f>VLOOKUP(odpowiedzi[[#This Row],[Wydział]],wydzial[],2)</f>
        <v>5</v>
      </c>
      <c r="F146">
        <v>22</v>
      </c>
      <c r="G146" s="10" t="s">
        <v>83</v>
      </c>
      <c r="H146">
        <v>0</v>
      </c>
    </row>
    <row r="147" spans="1:8" x14ac:dyDescent="0.2">
      <c r="A147">
        <v>146</v>
      </c>
      <c r="B147" s="10">
        <f>VLOOKUP(odpowiedzi[[#This Row],[Płeć]],plec[],2)</f>
        <v>2</v>
      </c>
      <c r="C147">
        <v>1</v>
      </c>
      <c r="D147" s="10" t="s">
        <v>8</v>
      </c>
      <c r="E147">
        <f>VLOOKUP(odpowiedzi[[#This Row],[Wydział]],wydzial[],2)</f>
        <v>7</v>
      </c>
      <c r="F147">
        <v>22</v>
      </c>
      <c r="G147" s="10" t="s">
        <v>51</v>
      </c>
      <c r="H147">
        <v>0</v>
      </c>
    </row>
    <row r="148" spans="1:8" x14ac:dyDescent="0.2">
      <c r="A148">
        <v>147</v>
      </c>
      <c r="B148" s="10">
        <f>VLOOKUP(odpowiedzi[[#This Row],[Płeć]],plec[],2)</f>
        <v>1</v>
      </c>
      <c r="C148">
        <v>0</v>
      </c>
      <c r="D148" s="10" t="s">
        <v>13</v>
      </c>
      <c r="E148">
        <f>VLOOKUP(odpowiedzi[[#This Row],[Wydział]],wydzial[],2)</f>
        <v>17</v>
      </c>
      <c r="F148">
        <v>22</v>
      </c>
      <c r="G148" s="10" t="s">
        <v>152</v>
      </c>
      <c r="H148">
        <v>0</v>
      </c>
    </row>
    <row r="149" spans="1:8" x14ac:dyDescent="0.2">
      <c r="A149">
        <v>148</v>
      </c>
      <c r="B149" s="10">
        <f>VLOOKUP(odpowiedzi[[#This Row],[Płeć]],plec[],2)</f>
        <v>2</v>
      </c>
      <c r="C149">
        <v>1</v>
      </c>
      <c r="D149" s="10" t="s">
        <v>8</v>
      </c>
      <c r="E149">
        <f>VLOOKUP(odpowiedzi[[#This Row],[Wydział]],wydzial[],2)</f>
        <v>19</v>
      </c>
      <c r="F149">
        <v>22</v>
      </c>
      <c r="G149" s="10" t="s">
        <v>141</v>
      </c>
      <c r="H149">
        <v>1</v>
      </c>
    </row>
    <row r="150" spans="1:8" x14ac:dyDescent="0.2">
      <c r="A150">
        <v>149</v>
      </c>
      <c r="B150" s="10">
        <f>VLOOKUP(odpowiedzi[[#This Row],[Płeć]],plec[],2)</f>
        <v>2</v>
      </c>
      <c r="C150">
        <v>1</v>
      </c>
      <c r="D150" s="10" t="s">
        <v>8</v>
      </c>
      <c r="E150">
        <f>VLOOKUP(odpowiedzi[[#This Row],[Wydział]],wydzial[],2)</f>
        <v>19</v>
      </c>
      <c r="F150">
        <v>22</v>
      </c>
      <c r="G150" s="10" t="s">
        <v>141</v>
      </c>
      <c r="H150">
        <v>0</v>
      </c>
    </row>
    <row r="151" spans="1:8" x14ac:dyDescent="0.2">
      <c r="A151">
        <v>150</v>
      </c>
      <c r="B151" s="10">
        <f>VLOOKUP(odpowiedzi[[#This Row],[Płeć]],plec[],2)</f>
        <v>2</v>
      </c>
      <c r="C151">
        <v>1</v>
      </c>
      <c r="D151" s="10" t="s">
        <v>8</v>
      </c>
      <c r="E151">
        <f>VLOOKUP(odpowiedzi[[#This Row],[Wydział]],wydzial[],2)</f>
        <v>19</v>
      </c>
      <c r="F151">
        <v>22</v>
      </c>
      <c r="G151" s="10" t="s">
        <v>141</v>
      </c>
      <c r="H151">
        <v>0</v>
      </c>
    </row>
    <row r="152" spans="1:8" x14ac:dyDescent="0.2">
      <c r="A152">
        <v>151</v>
      </c>
      <c r="B152" s="10">
        <f>VLOOKUP(odpowiedzi[[#This Row],[Płeć]],plec[],2)</f>
        <v>2</v>
      </c>
      <c r="C152">
        <v>1</v>
      </c>
      <c r="D152" s="10" t="s">
        <v>8</v>
      </c>
      <c r="E152">
        <f>VLOOKUP(odpowiedzi[[#This Row],[Wydział]],wydzial[],2)</f>
        <v>19</v>
      </c>
      <c r="F152">
        <v>22</v>
      </c>
      <c r="G152" s="10" t="s">
        <v>141</v>
      </c>
      <c r="H152">
        <v>1</v>
      </c>
    </row>
    <row r="153" spans="1:8" x14ac:dyDescent="0.2">
      <c r="A153">
        <v>152</v>
      </c>
      <c r="B153" s="10">
        <f>VLOOKUP(odpowiedzi[[#This Row],[Płeć]],plec[],2)</f>
        <v>2</v>
      </c>
      <c r="C153">
        <v>1</v>
      </c>
      <c r="D153" s="10" t="s">
        <v>8</v>
      </c>
      <c r="E153">
        <f>VLOOKUP(odpowiedzi[[#This Row],[Wydział]],wydzial[],2)</f>
        <v>19</v>
      </c>
      <c r="F153">
        <v>22</v>
      </c>
      <c r="G153" s="10" t="s">
        <v>141</v>
      </c>
      <c r="H153">
        <v>0</v>
      </c>
    </row>
    <row r="154" spans="1:8" x14ac:dyDescent="0.2">
      <c r="A154">
        <v>153</v>
      </c>
      <c r="B154" s="10">
        <f>VLOOKUP(odpowiedzi[[#This Row],[Płeć]],plec[],2)</f>
        <v>2</v>
      </c>
      <c r="C154">
        <v>1</v>
      </c>
      <c r="D154" s="10" t="s">
        <v>8</v>
      </c>
      <c r="E154">
        <f>VLOOKUP(odpowiedzi[[#This Row],[Wydział]],wydzial[],2)</f>
        <v>19</v>
      </c>
      <c r="F154">
        <v>22</v>
      </c>
      <c r="G154" s="10" t="s">
        <v>141</v>
      </c>
      <c r="H154">
        <v>0</v>
      </c>
    </row>
    <row r="155" spans="1:8" x14ac:dyDescent="0.2">
      <c r="A155">
        <v>154</v>
      </c>
      <c r="B155" s="10">
        <f>VLOOKUP(odpowiedzi[[#This Row],[Płeć]],plec[],2)</f>
        <v>2</v>
      </c>
      <c r="C155">
        <v>0</v>
      </c>
      <c r="D155" s="10" t="s">
        <v>8</v>
      </c>
      <c r="E155">
        <f>VLOOKUP(odpowiedzi[[#This Row],[Wydział]],wydzial[],2)</f>
        <v>19</v>
      </c>
      <c r="F155">
        <v>22</v>
      </c>
      <c r="G155" s="10" t="s">
        <v>141</v>
      </c>
      <c r="H155">
        <v>0</v>
      </c>
    </row>
    <row r="156" spans="1:8" x14ac:dyDescent="0.2">
      <c r="A156">
        <v>155</v>
      </c>
      <c r="B156" s="10">
        <f>VLOOKUP(odpowiedzi[[#This Row],[Płeć]],plec[],2)</f>
        <v>2</v>
      </c>
      <c r="C156">
        <v>1</v>
      </c>
      <c r="D156" s="10" t="s">
        <v>8</v>
      </c>
      <c r="E156">
        <f>VLOOKUP(odpowiedzi[[#This Row],[Wydział]],wydzial[],2)</f>
        <v>19</v>
      </c>
      <c r="F156">
        <v>22</v>
      </c>
      <c r="G156" s="10" t="s">
        <v>141</v>
      </c>
      <c r="H156">
        <v>1</v>
      </c>
    </row>
    <row r="157" spans="1:8" x14ac:dyDescent="0.2">
      <c r="A157">
        <v>156</v>
      </c>
      <c r="B157" s="10">
        <f>VLOOKUP(odpowiedzi[[#This Row],[Płeć]],plec[],2)</f>
        <v>2</v>
      </c>
      <c r="C157">
        <v>1</v>
      </c>
      <c r="D157" s="10" t="s">
        <v>8</v>
      </c>
      <c r="E157">
        <f>VLOOKUP(odpowiedzi[[#This Row],[Wydział]],wydzial[],2)</f>
        <v>21</v>
      </c>
      <c r="F157">
        <v>22</v>
      </c>
      <c r="G157" s="10" t="s">
        <v>76</v>
      </c>
      <c r="H157">
        <v>1</v>
      </c>
    </row>
    <row r="158" spans="1:8" x14ac:dyDescent="0.2">
      <c r="A158">
        <v>157</v>
      </c>
      <c r="B158" s="10">
        <f>VLOOKUP(odpowiedzi[[#This Row],[Płeć]],plec[],2)</f>
        <v>2</v>
      </c>
      <c r="C158">
        <v>0</v>
      </c>
      <c r="D158" s="10" t="s">
        <v>8</v>
      </c>
      <c r="E158">
        <f>VLOOKUP(odpowiedzi[[#This Row],[Wydział]],wydzial[],2)</f>
        <v>22</v>
      </c>
      <c r="F158">
        <v>22</v>
      </c>
      <c r="G158" s="10" t="s">
        <v>69</v>
      </c>
      <c r="H158">
        <v>0</v>
      </c>
    </row>
    <row r="159" spans="1:8" x14ac:dyDescent="0.2">
      <c r="A159">
        <v>158</v>
      </c>
      <c r="B159" s="10">
        <f>VLOOKUP(odpowiedzi[[#This Row],[Płeć]],plec[],2)</f>
        <v>1</v>
      </c>
      <c r="C159">
        <v>0</v>
      </c>
      <c r="D159" s="10" t="s">
        <v>13</v>
      </c>
      <c r="E159">
        <f>VLOOKUP(odpowiedzi[[#This Row],[Wydział]],wydzial[],2)</f>
        <v>23</v>
      </c>
      <c r="F159">
        <v>22</v>
      </c>
      <c r="G159" s="10" t="s">
        <v>79</v>
      </c>
      <c r="H159">
        <v>1</v>
      </c>
    </row>
    <row r="160" spans="1:8" x14ac:dyDescent="0.2">
      <c r="A160">
        <v>159</v>
      </c>
      <c r="B160" s="10">
        <f>VLOOKUP(odpowiedzi[[#This Row],[Płeć]],plec[],2)</f>
        <v>2</v>
      </c>
      <c r="C160">
        <v>1</v>
      </c>
      <c r="D160" s="10" t="s">
        <v>8</v>
      </c>
      <c r="E160">
        <f>VLOOKUP(odpowiedzi[[#This Row],[Wydział]],wydzial[],2)</f>
        <v>24</v>
      </c>
      <c r="F160">
        <v>22</v>
      </c>
      <c r="G160" s="10" t="s">
        <v>66</v>
      </c>
      <c r="H160">
        <v>1</v>
      </c>
    </row>
    <row r="161" spans="1:8" x14ac:dyDescent="0.2">
      <c r="A161">
        <v>160</v>
      </c>
      <c r="B161" s="10">
        <f>VLOOKUP(odpowiedzi[[#This Row],[Płeć]],plec[],2)</f>
        <v>1</v>
      </c>
      <c r="C161">
        <v>0</v>
      </c>
      <c r="D161" s="10" t="s">
        <v>13</v>
      </c>
      <c r="E161">
        <f>VLOOKUP(odpowiedzi[[#This Row],[Wydział]],wydzial[],2)</f>
        <v>26</v>
      </c>
      <c r="F161">
        <v>22</v>
      </c>
      <c r="G161" s="10" t="s">
        <v>62</v>
      </c>
      <c r="H161">
        <v>0</v>
      </c>
    </row>
    <row r="162" spans="1:8" x14ac:dyDescent="0.2">
      <c r="A162">
        <v>161</v>
      </c>
      <c r="B162" s="10">
        <f>VLOOKUP(odpowiedzi[[#This Row],[Płeć]],plec[],2)</f>
        <v>2</v>
      </c>
      <c r="C162">
        <v>0</v>
      </c>
      <c r="D162" s="10" t="s">
        <v>8</v>
      </c>
      <c r="E162">
        <f>VLOOKUP(odpowiedzi[[#This Row],[Wydział]],wydzial[],2)</f>
        <v>33</v>
      </c>
      <c r="F162">
        <v>22</v>
      </c>
      <c r="G162" s="10" t="s">
        <v>27</v>
      </c>
      <c r="H162">
        <v>0</v>
      </c>
    </row>
    <row r="163" spans="1:8" x14ac:dyDescent="0.2">
      <c r="A163">
        <v>162</v>
      </c>
      <c r="B163" s="10">
        <f>VLOOKUP(odpowiedzi[[#This Row],[Płeć]],plec[],2)</f>
        <v>2</v>
      </c>
      <c r="C163">
        <v>1</v>
      </c>
      <c r="D163" s="10" t="s">
        <v>8</v>
      </c>
      <c r="E163">
        <f>VLOOKUP(odpowiedzi[[#This Row],[Wydział]],wydzial[],2)</f>
        <v>33</v>
      </c>
      <c r="F163">
        <v>22</v>
      </c>
      <c r="G163" s="10" t="s">
        <v>27</v>
      </c>
      <c r="H163">
        <v>1</v>
      </c>
    </row>
    <row r="164" spans="1:8" x14ac:dyDescent="0.2">
      <c r="A164">
        <v>163</v>
      </c>
      <c r="B164" s="10">
        <f>VLOOKUP(odpowiedzi[[#This Row],[Płeć]],plec[],2)</f>
        <v>2</v>
      </c>
      <c r="C164">
        <v>1</v>
      </c>
      <c r="D164" s="10" t="s">
        <v>8</v>
      </c>
      <c r="E164">
        <f>VLOOKUP(odpowiedzi[[#This Row],[Wydział]],wydzial[],2)</f>
        <v>33</v>
      </c>
      <c r="F164">
        <v>22</v>
      </c>
      <c r="G164" s="10" t="s">
        <v>27</v>
      </c>
      <c r="H164">
        <v>0</v>
      </c>
    </row>
    <row r="165" spans="1:8" x14ac:dyDescent="0.2">
      <c r="A165">
        <v>164</v>
      </c>
      <c r="B165" s="10">
        <f>VLOOKUP(odpowiedzi[[#This Row],[Płeć]],plec[],2)</f>
        <v>1</v>
      </c>
      <c r="C165">
        <v>0</v>
      </c>
      <c r="D165" s="10" t="s">
        <v>13</v>
      </c>
      <c r="E165">
        <f>VLOOKUP(odpowiedzi[[#This Row],[Wydział]],wydzial[],2)</f>
        <v>33</v>
      </c>
      <c r="F165">
        <v>22</v>
      </c>
      <c r="G165" s="10" t="s">
        <v>27</v>
      </c>
      <c r="H165">
        <v>0</v>
      </c>
    </row>
    <row r="166" spans="1:8" x14ac:dyDescent="0.2">
      <c r="A166">
        <v>165</v>
      </c>
      <c r="B166" s="10">
        <f>VLOOKUP(odpowiedzi[[#This Row],[Płeć]],plec[],2)</f>
        <v>2</v>
      </c>
      <c r="C166">
        <v>1</v>
      </c>
      <c r="D166" s="10" t="s">
        <v>8</v>
      </c>
      <c r="E166">
        <f>VLOOKUP(odpowiedzi[[#This Row],[Wydział]],wydzial[],2)</f>
        <v>33</v>
      </c>
      <c r="F166">
        <v>22</v>
      </c>
      <c r="G166" s="10" t="s">
        <v>27</v>
      </c>
      <c r="H166">
        <v>0</v>
      </c>
    </row>
    <row r="167" spans="1:8" x14ac:dyDescent="0.2">
      <c r="A167">
        <v>166</v>
      </c>
      <c r="B167" s="10">
        <f>VLOOKUP(odpowiedzi[[#This Row],[Płeć]],plec[],2)</f>
        <v>2</v>
      </c>
      <c r="C167">
        <v>1</v>
      </c>
      <c r="D167" s="10" t="s">
        <v>8</v>
      </c>
      <c r="E167">
        <f>VLOOKUP(odpowiedzi[[#This Row],[Wydział]],wydzial[],2)</f>
        <v>5</v>
      </c>
      <c r="F167">
        <v>23</v>
      </c>
      <c r="G167" s="10" t="s">
        <v>83</v>
      </c>
      <c r="H167">
        <v>0</v>
      </c>
    </row>
    <row r="168" spans="1:8" x14ac:dyDescent="0.2">
      <c r="A168">
        <v>167</v>
      </c>
      <c r="B168" s="10">
        <f>VLOOKUP(odpowiedzi[[#This Row],[Płeć]],plec[],2)</f>
        <v>2</v>
      </c>
      <c r="C168">
        <v>1</v>
      </c>
      <c r="D168" s="10" t="s">
        <v>8</v>
      </c>
      <c r="E168">
        <f>VLOOKUP(odpowiedzi[[#This Row],[Wydział]],wydzial[],2)</f>
        <v>8</v>
      </c>
      <c r="F168">
        <v>23</v>
      </c>
      <c r="G168" s="10" t="s">
        <v>158</v>
      </c>
      <c r="H168">
        <v>0</v>
      </c>
    </row>
    <row r="169" spans="1:8" x14ac:dyDescent="0.2">
      <c r="A169">
        <v>168</v>
      </c>
      <c r="B169" s="10">
        <f>VLOOKUP(odpowiedzi[[#This Row],[Płeć]],plec[],2)</f>
        <v>1</v>
      </c>
      <c r="C169">
        <v>0</v>
      </c>
      <c r="D169" s="10" t="s">
        <v>13</v>
      </c>
      <c r="E169">
        <f>VLOOKUP(odpowiedzi[[#This Row],[Wydział]],wydzial[],2)</f>
        <v>10</v>
      </c>
      <c r="F169">
        <v>23</v>
      </c>
      <c r="G169" s="10" t="s">
        <v>85</v>
      </c>
      <c r="H169">
        <v>0</v>
      </c>
    </row>
    <row r="170" spans="1:8" x14ac:dyDescent="0.2">
      <c r="A170">
        <v>169</v>
      </c>
      <c r="B170" s="10">
        <f>VLOOKUP(odpowiedzi[[#This Row],[Płeć]],plec[],2)</f>
        <v>2</v>
      </c>
      <c r="C170">
        <v>1</v>
      </c>
      <c r="D170" s="10" t="s">
        <v>8</v>
      </c>
      <c r="E170">
        <f>VLOOKUP(odpowiedzi[[#This Row],[Wydział]],wydzial[],2)</f>
        <v>13</v>
      </c>
      <c r="F170">
        <v>23</v>
      </c>
      <c r="G170" s="10" t="s">
        <v>148</v>
      </c>
      <c r="H170">
        <v>1</v>
      </c>
    </row>
    <row r="171" spans="1:8" x14ac:dyDescent="0.2">
      <c r="A171">
        <v>170</v>
      </c>
      <c r="B171" s="10">
        <f>VLOOKUP(odpowiedzi[[#This Row],[Płeć]],plec[],2)</f>
        <v>2</v>
      </c>
      <c r="C171">
        <v>1</v>
      </c>
      <c r="D171" s="10" t="s">
        <v>8</v>
      </c>
      <c r="E171">
        <f>VLOOKUP(odpowiedzi[[#This Row],[Wydział]],wydzial[],2)</f>
        <v>13</v>
      </c>
      <c r="F171">
        <v>23</v>
      </c>
      <c r="G171" s="10" t="s">
        <v>148</v>
      </c>
      <c r="H171">
        <v>0</v>
      </c>
    </row>
    <row r="172" spans="1:8" x14ac:dyDescent="0.2">
      <c r="A172">
        <v>171</v>
      </c>
      <c r="B172" s="10">
        <f>VLOOKUP(odpowiedzi[[#This Row],[Płeć]],plec[],2)</f>
        <v>2</v>
      </c>
      <c r="C172">
        <v>1</v>
      </c>
      <c r="D172" s="10" t="s">
        <v>8</v>
      </c>
      <c r="E172">
        <f>VLOOKUP(odpowiedzi[[#This Row],[Wydział]],wydzial[],2)</f>
        <v>14</v>
      </c>
      <c r="F172">
        <v>23</v>
      </c>
      <c r="G172" s="10" t="s">
        <v>149</v>
      </c>
      <c r="H172">
        <v>0</v>
      </c>
    </row>
    <row r="173" spans="1:8" x14ac:dyDescent="0.2">
      <c r="A173">
        <v>172</v>
      </c>
      <c r="B173" s="10">
        <f>VLOOKUP(odpowiedzi[[#This Row],[Płeć]],plec[],2)</f>
        <v>1</v>
      </c>
      <c r="C173">
        <v>0</v>
      </c>
      <c r="D173" s="10" t="s">
        <v>13</v>
      </c>
      <c r="E173">
        <f>VLOOKUP(odpowiedzi[[#This Row],[Wydział]],wydzial[],2)</f>
        <v>19</v>
      </c>
      <c r="F173">
        <v>23</v>
      </c>
      <c r="G173" s="10" t="s">
        <v>141</v>
      </c>
      <c r="H173">
        <v>0</v>
      </c>
    </row>
    <row r="174" spans="1:8" x14ac:dyDescent="0.2">
      <c r="A174">
        <v>173</v>
      </c>
      <c r="B174" s="10">
        <f>VLOOKUP(odpowiedzi[[#This Row],[Płeć]],plec[],2)</f>
        <v>2</v>
      </c>
      <c r="C174">
        <v>1</v>
      </c>
      <c r="D174" s="10" t="s">
        <v>8</v>
      </c>
      <c r="E174">
        <f>VLOOKUP(odpowiedzi[[#This Row],[Wydział]],wydzial[],2)</f>
        <v>19</v>
      </c>
      <c r="F174">
        <v>23</v>
      </c>
      <c r="G174" s="10" t="s">
        <v>141</v>
      </c>
      <c r="H174">
        <v>1</v>
      </c>
    </row>
    <row r="175" spans="1:8" x14ac:dyDescent="0.2">
      <c r="A175">
        <v>174</v>
      </c>
      <c r="B175" s="10">
        <f>VLOOKUP(odpowiedzi[[#This Row],[Płeć]],plec[],2)</f>
        <v>2</v>
      </c>
      <c r="C175">
        <v>0</v>
      </c>
      <c r="D175" s="10" t="s">
        <v>8</v>
      </c>
      <c r="E175">
        <f>VLOOKUP(odpowiedzi[[#This Row],[Wydział]],wydzial[],2)</f>
        <v>19</v>
      </c>
      <c r="F175">
        <v>23</v>
      </c>
      <c r="G175" s="10" t="s">
        <v>141</v>
      </c>
      <c r="H175">
        <v>0</v>
      </c>
    </row>
    <row r="176" spans="1:8" x14ac:dyDescent="0.2">
      <c r="A176">
        <v>175</v>
      </c>
      <c r="B176" s="10">
        <f>VLOOKUP(odpowiedzi[[#This Row],[Płeć]],plec[],2)</f>
        <v>2</v>
      </c>
      <c r="C176">
        <v>0</v>
      </c>
      <c r="D176" s="10" t="s">
        <v>8</v>
      </c>
      <c r="E176">
        <f>VLOOKUP(odpowiedzi[[#This Row],[Wydział]],wydzial[],2)</f>
        <v>19</v>
      </c>
      <c r="F176">
        <v>23</v>
      </c>
      <c r="G176" s="10" t="s">
        <v>141</v>
      </c>
      <c r="H176">
        <v>0</v>
      </c>
    </row>
    <row r="177" spans="1:8" x14ac:dyDescent="0.2">
      <c r="A177">
        <v>176</v>
      </c>
      <c r="B177" s="10">
        <f>VLOOKUP(odpowiedzi[[#This Row],[Płeć]],plec[],2)</f>
        <v>2</v>
      </c>
      <c r="C177">
        <v>1</v>
      </c>
      <c r="D177" s="10" t="s">
        <v>8</v>
      </c>
      <c r="E177">
        <f>VLOOKUP(odpowiedzi[[#This Row],[Wydział]],wydzial[],2)</f>
        <v>21</v>
      </c>
      <c r="F177">
        <v>23</v>
      </c>
      <c r="G177" s="10" t="s">
        <v>76</v>
      </c>
      <c r="H177">
        <v>0</v>
      </c>
    </row>
    <row r="178" spans="1:8" x14ac:dyDescent="0.2">
      <c r="A178">
        <v>177</v>
      </c>
      <c r="B178" s="10">
        <f>VLOOKUP(odpowiedzi[[#This Row],[Płeć]],plec[],2)</f>
        <v>2</v>
      </c>
      <c r="C178">
        <v>0</v>
      </c>
      <c r="D178" s="10" t="s">
        <v>8</v>
      </c>
      <c r="E178">
        <f>VLOOKUP(odpowiedzi[[#This Row],[Wydział]],wydzial[],2)</f>
        <v>22</v>
      </c>
      <c r="F178">
        <v>23</v>
      </c>
      <c r="G178" s="10" t="s">
        <v>69</v>
      </c>
      <c r="H178">
        <v>0</v>
      </c>
    </row>
    <row r="179" spans="1:8" x14ac:dyDescent="0.2">
      <c r="A179">
        <v>178</v>
      </c>
      <c r="B179" s="10">
        <f>VLOOKUP(odpowiedzi[[#This Row],[Płeć]],plec[],2)</f>
        <v>2</v>
      </c>
      <c r="C179">
        <v>1</v>
      </c>
      <c r="D179" s="10" t="s">
        <v>8</v>
      </c>
      <c r="E179">
        <f>VLOOKUP(odpowiedzi[[#This Row],[Wydział]],wydzial[],2)</f>
        <v>22</v>
      </c>
      <c r="F179">
        <v>23</v>
      </c>
      <c r="G179" s="10" t="s">
        <v>69</v>
      </c>
      <c r="H179">
        <v>0</v>
      </c>
    </row>
    <row r="180" spans="1:8" x14ac:dyDescent="0.2">
      <c r="A180">
        <v>179</v>
      </c>
      <c r="B180" s="10">
        <f>VLOOKUP(odpowiedzi[[#This Row],[Płeć]],plec[],2)</f>
        <v>2</v>
      </c>
      <c r="C180">
        <v>1</v>
      </c>
      <c r="D180" s="10" t="s">
        <v>8</v>
      </c>
      <c r="E180">
        <f>VLOOKUP(odpowiedzi[[#This Row],[Wydział]],wydzial[],2)</f>
        <v>28</v>
      </c>
      <c r="F180">
        <v>23</v>
      </c>
      <c r="G180" s="10" t="s">
        <v>146</v>
      </c>
      <c r="H180">
        <v>1</v>
      </c>
    </row>
    <row r="181" spans="1:8" x14ac:dyDescent="0.2">
      <c r="A181">
        <v>180</v>
      </c>
      <c r="B181" s="10">
        <f>VLOOKUP(odpowiedzi[[#This Row],[Płeć]],plec[],2)</f>
        <v>1</v>
      </c>
      <c r="C181">
        <v>0</v>
      </c>
      <c r="D181" s="10" t="s">
        <v>13</v>
      </c>
      <c r="E181">
        <f>VLOOKUP(odpowiedzi[[#This Row],[Wydział]],wydzial[],2)</f>
        <v>29</v>
      </c>
      <c r="F181">
        <v>23</v>
      </c>
      <c r="G181" s="10" t="s">
        <v>56</v>
      </c>
      <c r="H181">
        <v>0</v>
      </c>
    </row>
    <row r="182" spans="1:8" x14ac:dyDescent="0.2">
      <c r="A182">
        <v>181</v>
      </c>
      <c r="B182" s="10">
        <f>VLOOKUP(odpowiedzi[[#This Row],[Płeć]],plec[],2)</f>
        <v>2</v>
      </c>
      <c r="C182">
        <v>1</v>
      </c>
      <c r="D182" s="10" t="s">
        <v>8</v>
      </c>
      <c r="E182">
        <f>VLOOKUP(odpowiedzi[[#This Row],[Wydział]],wydzial[],2)</f>
        <v>33</v>
      </c>
      <c r="F182">
        <v>23</v>
      </c>
      <c r="G182" s="10" t="s">
        <v>27</v>
      </c>
      <c r="H182">
        <v>0</v>
      </c>
    </row>
    <row r="183" spans="1:8" x14ac:dyDescent="0.2">
      <c r="A183">
        <v>182</v>
      </c>
      <c r="B183" s="10">
        <f>VLOOKUP(odpowiedzi[[#This Row],[Płeć]],plec[],2)</f>
        <v>2</v>
      </c>
      <c r="C183">
        <v>1</v>
      </c>
      <c r="D183" s="10" t="s">
        <v>8</v>
      </c>
      <c r="E183">
        <f>VLOOKUP(odpowiedzi[[#This Row],[Wydział]],wydzial[],2)</f>
        <v>8</v>
      </c>
      <c r="F183">
        <v>24</v>
      </c>
      <c r="G183" s="10" t="s">
        <v>158</v>
      </c>
      <c r="H183">
        <v>1</v>
      </c>
    </row>
    <row r="184" spans="1:8" x14ac:dyDescent="0.2">
      <c r="A184">
        <v>183</v>
      </c>
      <c r="B184" s="10">
        <f>VLOOKUP(odpowiedzi[[#This Row],[Płeć]],plec[],2)</f>
        <v>1</v>
      </c>
      <c r="C184">
        <v>0</v>
      </c>
      <c r="D184" s="10" t="s">
        <v>13</v>
      </c>
      <c r="E184">
        <f>VLOOKUP(odpowiedzi[[#This Row],[Wydział]],wydzial[],2)</f>
        <v>14</v>
      </c>
      <c r="F184">
        <v>24</v>
      </c>
      <c r="G184" s="10" t="s">
        <v>149</v>
      </c>
      <c r="H184">
        <v>0</v>
      </c>
    </row>
    <row r="185" spans="1:8" x14ac:dyDescent="0.2">
      <c r="A185">
        <v>184</v>
      </c>
      <c r="B185" s="10">
        <f>VLOOKUP(odpowiedzi[[#This Row],[Płeć]],plec[],2)</f>
        <v>2</v>
      </c>
      <c r="C185">
        <v>1</v>
      </c>
      <c r="D185" s="10" t="s">
        <v>8</v>
      </c>
      <c r="E185">
        <f>VLOOKUP(odpowiedzi[[#This Row],[Wydział]],wydzial[],2)</f>
        <v>19</v>
      </c>
      <c r="F185">
        <v>24</v>
      </c>
      <c r="G185" s="10" t="s">
        <v>141</v>
      </c>
      <c r="H185">
        <v>1</v>
      </c>
    </row>
    <row r="186" spans="1:8" x14ac:dyDescent="0.2">
      <c r="A186">
        <v>185</v>
      </c>
      <c r="B186" s="10">
        <f>VLOOKUP(odpowiedzi[[#This Row],[Płeć]],plec[],2)</f>
        <v>2</v>
      </c>
      <c r="C186">
        <v>1</v>
      </c>
      <c r="D186" s="10" t="s">
        <v>8</v>
      </c>
      <c r="E186">
        <f>VLOOKUP(odpowiedzi[[#This Row],[Wydział]],wydzial[],2)</f>
        <v>19</v>
      </c>
      <c r="F186">
        <v>24</v>
      </c>
      <c r="G186" s="10" t="s">
        <v>141</v>
      </c>
      <c r="H186">
        <v>1</v>
      </c>
    </row>
    <row r="187" spans="1:8" x14ac:dyDescent="0.2">
      <c r="A187">
        <v>186</v>
      </c>
      <c r="B187" s="10">
        <f>VLOOKUP(odpowiedzi[[#This Row],[Płeć]],plec[],2)</f>
        <v>2</v>
      </c>
      <c r="C187">
        <v>1</v>
      </c>
      <c r="D187" s="10" t="s">
        <v>8</v>
      </c>
      <c r="E187">
        <f>VLOOKUP(odpowiedzi[[#This Row],[Wydział]],wydzial[],2)</f>
        <v>19</v>
      </c>
      <c r="F187">
        <v>24</v>
      </c>
      <c r="G187" s="10" t="s">
        <v>141</v>
      </c>
      <c r="H187">
        <v>0</v>
      </c>
    </row>
    <row r="188" spans="1:8" x14ac:dyDescent="0.2">
      <c r="A188">
        <v>187</v>
      </c>
      <c r="B188" s="10">
        <f>VLOOKUP(odpowiedzi[[#This Row],[Płeć]],plec[],2)</f>
        <v>2</v>
      </c>
      <c r="C188">
        <v>1</v>
      </c>
      <c r="D188" s="10" t="s">
        <v>8</v>
      </c>
      <c r="E188">
        <f>VLOOKUP(odpowiedzi[[#This Row],[Wydział]],wydzial[],2)</f>
        <v>19</v>
      </c>
      <c r="F188">
        <v>24</v>
      </c>
      <c r="G188" s="10" t="s">
        <v>141</v>
      </c>
      <c r="H188">
        <v>0</v>
      </c>
    </row>
    <row r="189" spans="1:8" x14ac:dyDescent="0.2">
      <c r="A189">
        <v>188</v>
      </c>
      <c r="B189" s="10">
        <f>VLOOKUP(odpowiedzi[[#This Row],[Płeć]],plec[],2)</f>
        <v>2</v>
      </c>
      <c r="C189">
        <v>1</v>
      </c>
      <c r="D189" s="10" t="s">
        <v>8</v>
      </c>
      <c r="E189">
        <f>VLOOKUP(odpowiedzi[[#This Row],[Wydział]],wydzial[],2)</f>
        <v>19</v>
      </c>
      <c r="F189">
        <v>24</v>
      </c>
      <c r="G189" s="10" t="s">
        <v>141</v>
      </c>
      <c r="H189">
        <v>0</v>
      </c>
    </row>
    <row r="190" spans="1:8" x14ac:dyDescent="0.2">
      <c r="A190">
        <v>189</v>
      </c>
      <c r="B190" s="10">
        <f>VLOOKUP(odpowiedzi[[#This Row],[Płeć]],plec[],2)</f>
        <v>2</v>
      </c>
      <c r="C190">
        <v>1</v>
      </c>
      <c r="D190" s="10" t="s">
        <v>8</v>
      </c>
      <c r="E190">
        <f>VLOOKUP(odpowiedzi[[#This Row],[Wydział]],wydzial[],2)</f>
        <v>29</v>
      </c>
      <c r="F190">
        <v>24</v>
      </c>
      <c r="G190" s="10" t="s">
        <v>56</v>
      </c>
      <c r="H190">
        <v>1</v>
      </c>
    </row>
    <row r="191" spans="1:8" x14ac:dyDescent="0.2">
      <c r="A191">
        <v>190</v>
      </c>
      <c r="B191" s="10">
        <f>VLOOKUP(odpowiedzi[[#This Row],[Płeć]],plec[],2)</f>
        <v>2</v>
      </c>
      <c r="C191">
        <v>0</v>
      </c>
      <c r="D191" s="10" t="s">
        <v>8</v>
      </c>
      <c r="E191">
        <f>VLOOKUP(odpowiedzi[[#This Row],[Wydział]],wydzial[],2)</f>
        <v>19</v>
      </c>
      <c r="F191">
        <v>25</v>
      </c>
      <c r="G191" s="10" t="s">
        <v>141</v>
      </c>
      <c r="H191">
        <v>0</v>
      </c>
    </row>
    <row r="192" spans="1:8" x14ac:dyDescent="0.2">
      <c r="A192">
        <v>191</v>
      </c>
      <c r="B192" s="10">
        <f>VLOOKUP(odpowiedzi[[#This Row],[Płeć]],plec[],2)</f>
        <v>2</v>
      </c>
      <c r="C192">
        <v>1</v>
      </c>
      <c r="D192" s="10" t="s">
        <v>8</v>
      </c>
      <c r="E192">
        <f>VLOOKUP(odpowiedzi[[#This Row],[Wydział]],wydzial[],2)</f>
        <v>19</v>
      </c>
      <c r="F192">
        <v>25</v>
      </c>
      <c r="G192" s="10" t="s">
        <v>141</v>
      </c>
      <c r="H192">
        <v>1</v>
      </c>
    </row>
    <row r="193" spans="1:8" x14ac:dyDescent="0.2">
      <c r="A193">
        <v>192</v>
      </c>
      <c r="B193" s="10">
        <f>VLOOKUP(odpowiedzi[[#This Row],[Płeć]],plec[],2)</f>
        <v>1</v>
      </c>
      <c r="C193">
        <v>1</v>
      </c>
      <c r="D193" s="10" t="s">
        <v>13</v>
      </c>
      <c r="E193">
        <f>VLOOKUP(odpowiedzi[[#This Row],[Wydział]],wydzial[],2)</f>
        <v>33</v>
      </c>
      <c r="F193">
        <v>25</v>
      </c>
      <c r="G193" s="10" t="s">
        <v>27</v>
      </c>
      <c r="H193">
        <v>0</v>
      </c>
    </row>
    <row r="194" spans="1:8" x14ac:dyDescent="0.2">
      <c r="A194">
        <v>193</v>
      </c>
      <c r="B194" s="10">
        <f>VLOOKUP(odpowiedzi[[#This Row],[Płeć]],plec[],2)</f>
        <v>2</v>
      </c>
      <c r="C194">
        <v>1</v>
      </c>
      <c r="D194" s="10" t="s">
        <v>8</v>
      </c>
      <c r="E194">
        <f>VLOOKUP(odpowiedzi[[#This Row],[Wydział]],wydzial[],2)</f>
        <v>33</v>
      </c>
      <c r="F194">
        <v>25</v>
      </c>
      <c r="G194" s="10" t="s">
        <v>27</v>
      </c>
      <c r="H194">
        <v>1</v>
      </c>
    </row>
    <row r="195" spans="1:8" x14ac:dyDescent="0.2">
      <c r="A195">
        <v>194</v>
      </c>
      <c r="B195" s="10">
        <f>VLOOKUP(odpowiedzi[[#This Row],[Płeć]],plec[],2)</f>
        <v>2</v>
      </c>
      <c r="C195">
        <v>1</v>
      </c>
      <c r="D195" s="10" t="s">
        <v>8</v>
      </c>
      <c r="E195">
        <f>VLOOKUP(odpowiedzi[[#This Row],[Wydział]],wydzial[],2)</f>
        <v>19</v>
      </c>
      <c r="F195">
        <v>26</v>
      </c>
      <c r="G195" s="10" t="s">
        <v>141</v>
      </c>
      <c r="H195">
        <v>0</v>
      </c>
    </row>
    <row r="196" spans="1:8" x14ac:dyDescent="0.2">
      <c r="A196">
        <v>195</v>
      </c>
      <c r="B196" s="10">
        <f>VLOOKUP(odpowiedzi[[#This Row],[Płeć]],plec[],2)</f>
        <v>2</v>
      </c>
      <c r="C196">
        <v>1</v>
      </c>
      <c r="D196" s="10" t="s">
        <v>8</v>
      </c>
      <c r="E196">
        <f>VLOOKUP(odpowiedzi[[#This Row],[Wydział]],wydzial[],2)</f>
        <v>29</v>
      </c>
      <c r="F196">
        <v>26</v>
      </c>
      <c r="G196" s="10" t="s">
        <v>56</v>
      </c>
      <c r="H196">
        <v>1</v>
      </c>
    </row>
    <row r="197" spans="1:8" x14ac:dyDescent="0.2">
      <c r="A197">
        <v>196</v>
      </c>
      <c r="B197" s="10">
        <f>VLOOKUP(odpowiedzi[[#This Row],[Płeć]],plec[],2)</f>
        <v>1</v>
      </c>
      <c r="C197">
        <v>1</v>
      </c>
      <c r="D197" s="10" t="s">
        <v>13</v>
      </c>
      <c r="E197">
        <f>VLOOKUP(odpowiedzi[[#This Row],[Wydział]],wydzial[],2)</f>
        <v>29</v>
      </c>
      <c r="F197">
        <v>28</v>
      </c>
      <c r="G197" s="10" t="s">
        <v>56</v>
      </c>
      <c r="H197">
        <v>0</v>
      </c>
    </row>
    <row r="198" spans="1:8" x14ac:dyDescent="0.2">
      <c r="A198">
        <v>197</v>
      </c>
      <c r="B198" s="10">
        <f>VLOOKUP(odpowiedzi[[#This Row],[Płeć]],plec[],2)</f>
        <v>2</v>
      </c>
      <c r="C198">
        <v>0</v>
      </c>
      <c r="D198" s="10" t="s">
        <v>8</v>
      </c>
      <c r="E198">
        <f>VLOOKUP(odpowiedzi[[#This Row],[Wydział]],wydzial[],2)</f>
        <v>33</v>
      </c>
      <c r="F198">
        <v>28</v>
      </c>
      <c r="G198" s="10" t="s">
        <v>27</v>
      </c>
      <c r="H198">
        <v>0</v>
      </c>
    </row>
    <row r="199" spans="1:8" x14ac:dyDescent="0.2">
      <c r="A199">
        <v>198</v>
      </c>
      <c r="B199" s="10">
        <f>VLOOKUP(odpowiedzi[[#This Row],[Płeć]],plec[],2)</f>
        <v>1</v>
      </c>
      <c r="C199">
        <v>1</v>
      </c>
      <c r="D199" s="10" t="s">
        <v>13</v>
      </c>
      <c r="E199">
        <f>VLOOKUP(odpowiedzi[[#This Row],[Wydział]],wydzial[],2)</f>
        <v>33</v>
      </c>
      <c r="F199">
        <v>28</v>
      </c>
      <c r="G199" s="10" t="s">
        <v>27</v>
      </c>
      <c r="H199">
        <v>0</v>
      </c>
    </row>
    <row r="200" spans="1:8" x14ac:dyDescent="0.2">
      <c r="A200">
        <v>199</v>
      </c>
      <c r="B200" s="10">
        <f>VLOOKUP(odpowiedzi[[#This Row],[Płeć]],plec[],2)</f>
        <v>1</v>
      </c>
      <c r="C200">
        <v>0</v>
      </c>
      <c r="D200" s="10" t="s">
        <v>13</v>
      </c>
      <c r="E200">
        <f>VLOOKUP(odpowiedzi[[#This Row],[Wydział]],wydzial[],2)</f>
        <v>32</v>
      </c>
      <c r="F200">
        <v>37</v>
      </c>
      <c r="G200" s="10" t="s">
        <v>156</v>
      </c>
      <c r="H200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F02C0-CD23-4CD8-84AF-D636398D527E}">
  <sheetPr codeName="Arkusz7"/>
  <dimension ref="A1:B34"/>
  <sheetViews>
    <sheetView workbookViewId="0">
      <selection activeCell="A33" sqref="A33"/>
    </sheetView>
  </sheetViews>
  <sheetFormatPr defaultRowHeight="12.75" x14ac:dyDescent="0.2"/>
  <cols>
    <col min="1" max="1" width="62.140625" bestFit="1" customWidth="1"/>
    <col min="2" max="2" width="13" bestFit="1" customWidth="1"/>
    <col min="3" max="3" width="62.140625" bestFit="1" customWidth="1"/>
  </cols>
  <sheetData>
    <row r="1" spans="1:2" x14ac:dyDescent="0.2">
      <c r="A1" t="s">
        <v>213</v>
      </c>
      <c r="B1" t="s">
        <v>198</v>
      </c>
    </row>
    <row r="2" spans="1:2" x14ac:dyDescent="0.2">
      <c r="A2" t="s">
        <v>143</v>
      </c>
      <c r="B2">
        <v>1</v>
      </c>
    </row>
    <row r="3" spans="1:2" x14ac:dyDescent="0.2">
      <c r="A3" t="s">
        <v>147</v>
      </c>
      <c r="B3">
        <v>2</v>
      </c>
    </row>
    <row r="4" spans="1:2" x14ac:dyDescent="0.2">
      <c r="A4" t="s">
        <v>142</v>
      </c>
      <c r="B4">
        <v>3</v>
      </c>
    </row>
    <row r="5" spans="1:2" x14ac:dyDescent="0.2">
      <c r="A5" t="s">
        <v>157</v>
      </c>
      <c r="B5">
        <v>4</v>
      </c>
    </row>
    <row r="6" spans="1:2" x14ac:dyDescent="0.2">
      <c r="A6" t="s">
        <v>83</v>
      </c>
      <c r="B6">
        <v>5</v>
      </c>
    </row>
    <row r="7" spans="1:2" x14ac:dyDescent="0.2">
      <c r="A7" t="s">
        <v>162</v>
      </c>
      <c r="B7">
        <v>6</v>
      </c>
    </row>
    <row r="8" spans="1:2" x14ac:dyDescent="0.2">
      <c r="A8" t="s">
        <v>51</v>
      </c>
      <c r="B8">
        <v>7</v>
      </c>
    </row>
    <row r="9" spans="1:2" x14ac:dyDescent="0.2">
      <c r="A9" t="s">
        <v>158</v>
      </c>
      <c r="B9">
        <v>8</v>
      </c>
    </row>
    <row r="10" spans="1:2" x14ac:dyDescent="0.2">
      <c r="A10" t="s">
        <v>58</v>
      </c>
      <c r="B10">
        <v>9</v>
      </c>
    </row>
    <row r="11" spans="1:2" x14ac:dyDescent="0.2">
      <c r="A11" t="s">
        <v>85</v>
      </c>
      <c r="B11">
        <v>10</v>
      </c>
    </row>
    <row r="12" spans="1:2" x14ac:dyDescent="0.2">
      <c r="A12" t="s">
        <v>160</v>
      </c>
      <c r="B12">
        <v>11</v>
      </c>
    </row>
    <row r="13" spans="1:2" x14ac:dyDescent="0.2">
      <c r="A13" t="s">
        <v>161</v>
      </c>
      <c r="B13">
        <v>12</v>
      </c>
    </row>
    <row r="14" spans="1:2" x14ac:dyDescent="0.2">
      <c r="A14" t="s">
        <v>148</v>
      </c>
      <c r="B14">
        <v>13</v>
      </c>
    </row>
    <row r="15" spans="1:2" x14ac:dyDescent="0.2">
      <c r="A15" t="s">
        <v>149</v>
      </c>
      <c r="B15">
        <v>14</v>
      </c>
    </row>
    <row r="16" spans="1:2" x14ac:dyDescent="0.2">
      <c r="A16" t="s">
        <v>150</v>
      </c>
      <c r="B16">
        <v>15</v>
      </c>
    </row>
    <row r="17" spans="1:2" x14ac:dyDescent="0.2">
      <c r="A17" t="s">
        <v>151</v>
      </c>
      <c r="B17">
        <v>16</v>
      </c>
    </row>
    <row r="18" spans="1:2" x14ac:dyDescent="0.2">
      <c r="A18" t="s">
        <v>152</v>
      </c>
      <c r="B18">
        <v>17</v>
      </c>
    </row>
    <row r="19" spans="1:2" x14ac:dyDescent="0.2">
      <c r="A19" t="s">
        <v>145</v>
      </c>
      <c r="B19">
        <v>18</v>
      </c>
    </row>
    <row r="20" spans="1:2" x14ac:dyDescent="0.2">
      <c r="A20" t="s">
        <v>141</v>
      </c>
      <c r="B20">
        <v>19</v>
      </c>
    </row>
    <row r="21" spans="1:2" x14ac:dyDescent="0.2">
      <c r="A21" t="s">
        <v>153</v>
      </c>
      <c r="B21">
        <v>20</v>
      </c>
    </row>
    <row r="22" spans="1:2" x14ac:dyDescent="0.2">
      <c r="A22" t="s">
        <v>76</v>
      </c>
      <c r="B22">
        <v>21</v>
      </c>
    </row>
    <row r="23" spans="1:2" x14ac:dyDescent="0.2">
      <c r="A23" t="s">
        <v>69</v>
      </c>
      <c r="B23">
        <v>22</v>
      </c>
    </row>
    <row r="24" spans="1:2" x14ac:dyDescent="0.2">
      <c r="A24" t="s">
        <v>79</v>
      </c>
      <c r="B24">
        <v>23</v>
      </c>
    </row>
    <row r="25" spans="1:2" x14ac:dyDescent="0.2">
      <c r="A25" t="s">
        <v>66</v>
      </c>
      <c r="B25">
        <v>24</v>
      </c>
    </row>
    <row r="26" spans="1:2" x14ac:dyDescent="0.2">
      <c r="A26" t="s">
        <v>154</v>
      </c>
      <c r="B26">
        <v>25</v>
      </c>
    </row>
    <row r="27" spans="1:2" x14ac:dyDescent="0.2">
      <c r="A27" t="s">
        <v>62</v>
      </c>
      <c r="B27">
        <v>26</v>
      </c>
    </row>
    <row r="28" spans="1:2" x14ac:dyDescent="0.2">
      <c r="A28" t="s">
        <v>144</v>
      </c>
      <c r="B28">
        <v>27</v>
      </c>
    </row>
    <row r="29" spans="1:2" x14ac:dyDescent="0.2">
      <c r="A29" t="s">
        <v>146</v>
      </c>
      <c r="B29">
        <v>28</v>
      </c>
    </row>
    <row r="30" spans="1:2" x14ac:dyDescent="0.2">
      <c r="A30" t="s">
        <v>56</v>
      </c>
      <c r="B30">
        <v>29</v>
      </c>
    </row>
    <row r="31" spans="1:2" x14ac:dyDescent="0.2">
      <c r="A31" t="s">
        <v>159</v>
      </c>
      <c r="B31">
        <v>30</v>
      </c>
    </row>
    <row r="32" spans="1:2" x14ac:dyDescent="0.2">
      <c r="A32" t="s">
        <v>155</v>
      </c>
      <c r="B32">
        <v>31</v>
      </c>
    </row>
    <row r="33" spans="1:2" x14ac:dyDescent="0.2">
      <c r="A33" t="s">
        <v>156</v>
      </c>
      <c r="B33">
        <v>32</v>
      </c>
    </row>
    <row r="34" spans="1:2" x14ac:dyDescent="0.2">
      <c r="A34" t="s">
        <v>27</v>
      </c>
      <c r="B34">
        <v>33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18BD5-AE35-40C4-B460-6FF3E411A43E}">
  <sheetPr codeName="Arkusz8"/>
  <dimension ref="A1:B3"/>
  <sheetViews>
    <sheetView workbookViewId="0">
      <selection activeCell="F3" sqref="F3"/>
    </sheetView>
  </sheetViews>
  <sheetFormatPr defaultRowHeight="12.75" x14ac:dyDescent="0.2"/>
  <cols>
    <col min="1" max="1" width="10.5703125" bestFit="1" customWidth="1"/>
    <col min="2" max="2" width="9.85546875" bestFit="1" customWidth="1"/>
  </cols>
  <sheetData>
    <row r="1" spans="1:2" x14ac:dyDescent="0.2">
      <c r="A1" t="s">
        <v>210</v>
      </c>
      <c r="B1" t="s">
        <v>197</v>
      </c>
    </row>
    <row r="2" spans="1:2" x14ac:dyDescent="0.2">
      <c r="A2" t="s">
        <v>13</v>
      </c>
      <c r="B2">
        <v>1</v>
      </c>
    </row>
    <row r="3" spans="1:2" x14ac:dyDescent="0.2">
      <c r="A3" t="s">
        <v>8</v>
      </c>
      <c r="B3">
        <v>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CAF1-C8B0-49FC-B1B2-BA7FFF9F9F02}">
  <sheetPr codeName="Arkusz9"/>
  <dimension ref="A1:B27"/>
  <sheetViews>
    <sheetView workbookViewId="0">
      <selection activeCell="A19" sqref="A19"/>
    </sheetView>
  </sheetViews>
  <sheetFormatPr defaultRowHeight="12.75" x14ac:dyDescent="0.2"/>
  <cols>
    <col min="1" max="1" width="61.5703125" bestFit="1" customWidth="1"/>
    <col min="2" max="2" width="12.5703125" bestFit="1" customWidth="1"/>
  </cols>
  <sheetData>
    <row r="1" spans="1:2" x14ac:dyDescent="0.2">
      <c r="A1" t="s">
        <v>202</v>
      </c>
      <c r="B1" t="s">
        <v>212</v>
      </c>
    </row>
    <row r="2" spans="1:2" x14ac:dyDescent="0.2">
      <c r="A2" s="10" t="s">
        <v>49</v>
      </c>
      <c r="B2">
        <v>1</v>
      </c>
    </row>
    <row r="3" spans="1:2" x14ac:dyDescent="0.2">
      <c r="A3" s="10" t="s">
        <v>120</v>
      </c>
      <c r="B3">
        <v>2</v>
      </c>
    </row>
    <row r="4" spans="1:2" x14ac:dyDescent="0.2">
      <c r="A4" s="10" t="s">
        <v>140</v>
      </c>
      <c r="B4">
        <v>3</v>
      </c>
    </row>
    <row r="5" spans="1:2" x14ac:dyDescent="0.2">
      <c r="A5" s="10" t="s">
        <v>191</v>
      </c>
      <c r="B5">
        <v>4</v>
      </c>
    </row>
    <row r="6" spans="1:2" x14ac:dyDescent="0.2">
      <c r="A6" s="10" t="s">
        <v>192</v>
      </c>
      <c r="B6">
        <v>5</v>
      </c>
    </row>
    <row r="7" spans="1:2" x14ac:dyDescent="0.2">
      <c r="A7" s="10" t="s">
        <v>11</v>
      </c>
      <c r="B7">
        <v>6</v>
      </c>
    </row>
    <row r="8" spans="1:2" x14ac:dyDescent="0.2">
      <c r="A8" s="10" t="s">
        <v>36</v>
      </c>
      <c r="B8">
        <v>7</v>
      </c>
    </row>
    <row r="9" spans="1:2" x14ac:dyDescent="0.2">
      <c r="A9" s="10" t="s">
        <v>136</v>
      </c>
      <c r="B9">
        <v>8</v>
      </c>
    </row>
    <row r="10" spans="1:2" x14ac:dyDescent="0.2">
      <c r="A10" s="10" t="s">
        <v>128</v>
      </c>
      <c r="B10">
        <v>9</v>
      </c>
    </row>
    <row r="11" spans="1:2" x14ac:dyDescent="0.2">
      <c r="A11" s="10" t="s">
        <v>31</v>
      </c>
      <c r="B11">
        <v>10</v>
      </c>
    </row>
    <row r="12" spans="1:2" x14ac:dyDescent="0.2">
      <c r="A12" s="10" t="s">
        <v>130</v>
      </c>
      <c r="B12">
        <v>11</v>
      </c>
    </row>
    <row r="13" spans="1:2" x14ac:dyDescent="0.2">
      <c r="A13" s="10" t="s">
        <v>43</v>
      </c>
      <c r="B13">
        <v>12</v>
      </c>
    </row>
    <row r="14" spans="1:2" x14ac:dyDescent="0.2">
      <c r="A14" s="10" t="s">
        <v>37</v>
      </c>
      <c r="B14">
        <v>13</v>
      </c>
    </row>
    <row r="15" spans="1:2" x14ac:dyDescent="0.2">
      <c r="A15" s="10" t="s">
        <v>193</v>
      </c>
      <c r="B15">
        <v>14</v>
      </c>
    </row>
    <row r="16" spans="1:2" x14ac:dyDescent="0.2">
      <c r="A16" s="10" t="s">
        <v>138</v>
      </c>
      <c r="B16">
        <v>15</v>
      </c>
    </row>
    <row r="17" spans="1:2" x14ac:dyDescent="0.2">
      <c r="A17" s="10" t="s">
        <v>7</v>
      </c>
      <c r="B17">
        <v>16</v>
      </c>
    </row>
    <row r="18" spans="1:2" x14ac:dyDescent="0.2">
      <c r="A18" s="10" t="s">
        <v>132</v>
      </c>
      <c r="B18">
        <v>17</v>
      </c>
    </row>
    <row r="19" spans="1:2" x14ac:dyDescent="0.2">
      <c r="A19" s="10" t="s">
        <v>194</v>
      </c>
      <c r="B19">
        <v>18</v>
      </c>
    </row>
    <row r="20" spans="1:2" x14ac:dyDescent="0.2">
      <c r="A20" s="10" t="s">
        <v>121</v>
      </c>
      <c r="B20">
        <v>19</v>
      </c>
    </row>
    <row r="21" spans="1:2" x14ac:dyDescent="0.2">
      <c r="A21" s="10" t="s">
        <v>17</v>
      </c>
      <c r="B21">
        <v>20</v>
      </c>
    </row>
    <row r="22" spans="1:2" x14ac:dyDescent="0.2">
      <c r="A22" s="10" t="s">
        <v>133</v>
      </c>
      <c r="B22">
        <v>21</v>
      </c>
    </row>
    <row r="23" spans="1:2" x14ac:dyDescent="0.2">
      <c r="A23" s="10" t="s">
        <v>129</v>
      </c>
      <c r="B23">
        <v>22</v>
      </c>
    </row>
    <row r="24" spans="1:2" x14ac:dyDescent="0.2">
      <c r="A24" s="10" t="s">
        <v>122</v>
      </c>
      <c r="B24">
        <v>23</v>
      </c>
    </row>
    <row r="25" spans="1:2" x14ac:dyDescent="0.2">
      <c r="A25" s="10" t="s">
        <v>29</v>
      </c>
      <c r="B25">
        <v>24</v>
      </c>
    </row>
    <row r="26" spans="1:2" x14ac:dyDescent="0.2">
      <c r="A26" s="10" t="s">
        <v>195</v>
      </c>
      <c r="B26">
        <v>25</v>
      </c>
    </row>
    <row r="27" spans="1:2" x14ac:dyDescent="0.2">
      <c r="A27" s="10" t="s">
        <v>196</v>
      </c>
      <c r="B27">
        <v>26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FFFE3-762B-416B-805A-DD972F67D7D4}">
  <sheetPr codeName="Arkusz12"/>
  <dimension ref="A1:B5"/>
  <sheetViews>
    <sheetView workbookViewId="0">
      <selection activeCell="A2" sqref="A2"/>
    </sheetView>
  </sheetViews>
  <sheetFormatPr defaultRowHeight="12.75" x14ac:dyDescent="0.2"/>
  <cols>
    <col min="1" max="1" width="81.140625" bestFit="1" customWidth="1"/>
    <col min="2" max="2" width="28.42578125" bestFit="1" customWidth="1"/>
  </cols>
  <sheetData>
    <row r="1" spans="1:2" x14ac:dyDescent="0.2">
      <c r="A1" t="s">
        <v>202</v>
      </c>
      <c r="B1" t="s">
        <v>211</v>
      </c>
    </row>
    <row r="2" spans="1:2" x14ac:dyDescent="0.2">
      <c r="A2" s="10" t="s">
        <v>10</v>
      </c>
      <c r="B2">
        <v>1</v>
      </c>
    </row>
    <row r="3" spans="1:2" x14ac:dyDescent="0.2">
      <c r="A3" s="10" t="s">
        <v>6</v>
      </c>
      <c r="B3">
        <v>2</v>
      </c>
    </row>
    <row r="4" spans="1:2" x14ac:dyDescent="0.2">
      <c r="A4" s="10" t="s">
        <v>47</v>
      </c>
      <c r="B4">
        <v>3</v>
      </c>
    </row>
    <row r="5" spans="1:2" x14ac:dyDescent="0.2">
      <c r="A5" s="10" t="s">
        <v>25</v>
      </c>
      <c r="B5">
        <v>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C4ECE-1ABA-4D88-84F2-D10785C44A89}">
  <sheetPr codeName="Arkusz13"/>
  <dimension ref="A1:B6"/>
  <sheetViews>
    <sheetView workbookViewId="0">
      <selection activeCell="D9" sqref="D9"/>
    </sheetView>
  </sheetViews>
  <sheetFormatPr defaultRowHeight="12.75" x14ac:dyDescent="0.2"/>
  <cols>
    <col min="1" max="1" width="71.140625" bestFit="1" customWidth="1"/>
    <col min="2" max="2" width="28.140625" bestFit="1" customWidth="1"/>
  </cols>
  <sheetData>
    <row r="1" spans="1:2" x14ac:dyDescent="0.2">
      <c r="A1" s="11" t="s">
        <v>202</v>
      </c>
      <c r="B1" t="s">
        <v>203</v>
      </c>
    </row>
    <row r="2" spans="1:2" x14ac:dyDescent="0.2">
      <c r="A2" s="10" t="s">
        <v>5</v>
      </c>
      <c r="B2">
        <v>1</v>
      </c>
    </row>
    <row r="3" spans="1:2" x14ac:dyDescent="0.2">
      <c r="A3" s="10" t="s">
        <v>176</v>
      </c>
      <c r="B3">
        <v>3</v>
      </c>
    </row>
    <row r="4" spans="1:2" x14ac:dyDescent="0.2">
      <c r="A4" s="10" t="s">
        <v>12</v>
      </c>
      <c r="B4">
        <v>2</v>
      </c>
    </row>
    <row r="5" spans="1:2" x14ac:dyDescent="0.2">
      <c r="A5" s="10" t="s">
        <v>174</v>
      </c>
      <c r="B5">
        <v>4</v>
      </c>
    </row>
    <row r="6" spans="1:2" x14ac:dyDescent="0.2">
      <c r="A6" s="10" t="s">
        <v>175</v>
      </c>
      <c r="B6">
        <v>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D83FC-2831-429E-B234-5840FB61809A}">
  <sheetPr codeName="Arkusz10"/>
  <dimension ref="A1:B32"/>
  <sheetViews>
    <sheetView workbookViewId="0">
      <selection activeCell="C17" sqref="C17"/>
    </sheetView>
  </sheetViews>
  <sheetFormatPr defaultRowHeight="12.75" x14ac:dyDescent="0.2"/>
  <cols>
    <col min="1" max="1" width="29" bestFit="1" customWidth="1"/>
    <col min="2" max="3" width="19.85546875" bestFit="1" customWidth="1"/>
    <col min="4" max="4" width="20" bestFit="1" customWidth="1"/>
    <col min="5" max="5" width="29" bestFit="1" customWidth="1"/>
  </cols>
  <sheetData>
    <row r="1" spans="1:2" x14ac:dyDescent="0.2">
      <c r="A1" t="s">
        <v>218</v>
      </c>
      <c r="B1" t="s">
        <v>216</v>
      </c>
    </row>
    <row r="2" spans="1:2" x14ac:dyDescent="0.2">
      <c r="A2" s="10" t="s">
        <v>187</v>
      </c>
      <c r="B2">
        <v>6</v>
      </c>
    </row>
    <row r="3" spans="1:2" x14ac:dyDescent="0.2">
      <c r="A3" s="10" t="s">
        <v>168</v>
      </c>
      <c r="B3">
        <v>2</v>
      </c>
    </row>
    <row r="4" spans="1:2" x14ac:dyDescent="0.2">
      <c r="A4" s="10" t="s">
        <v>111</v>
      </c>
      <c r="B4">
        <v>1</v>
      </c>
    </row>
    <row r="5" spans="1:2" x14ac:dyDescent="0.2">
      <c r="A5" s="10" t="s">
        <v>30</v>
      </c>
      <c r="B5">
        <v>3</v>
      </c>
    </row>
    <row r="6" spans="1:2" x14ac:dyDescent="0.2">
      <c r="A6" s="10" t="s">
        <v>33</v>
      </c>
      <c r="B6">
        <v>9</v>
      </c>
    </row>
    <row r="7" spans="1:2" x14ac:dyDescent="0.2">
      <c r="A7" s="10" t="s">
        <v>171</v>
      </c>
      <c r="B7">
        <v>10</v>
      </c>
    </row>
    <row r="8" spans="1:2" x14ac:dyDescent="0.2">
      <c r="A8" s="10" t="s">
        <v>48</v>
      </c>
      <c r="B8">
        <v>4</v>
      </c>
    </row>
    <row r="9" spans="1:2" x14ac:dyDescent="0.2">
      <c r="A9" s="10" t="s">
        <v>169</v>
      </c>
      <c r="B9">
        <v>5</v>
      </c>
    </row>
    <row r="10" spans="1:2" x14ac:dyDescent="0.2">
      <c r="A10" s="10" t="s">
        <v>45</v>
      </c>
      <c r="B10">
        <v>12</v>
      </c>
    </row>
    <row r="11" spans="1:2" x14ac:dyDescent="0.2">
      <c r="A11" s="10" t="s">
        <v>118</v>
      </c>
      <c r="B11">
        <v>13</v>
      </c>
    </row>
    <row r="12" spans="1:2" x14ac:dyDescent="0.2">
      <c r="A12" s="10" t="s">
        <v>26</v>
      </c>
      <c r="B12">
        <v>14</v>
      </c>
    </row>
    <row r="13" spans="1:2" x14ac:dyDescent="0.2">
      <c r="A13" s="10" t="s">
        <v>91</v>
      </c>
      <c r="B13">
        <v>16</v>
      </c>
    </row>
    <row r="14" spans="1:2" x14ac:dyDescent="0.2">
      <c r="A14" s="10" t="s">
        <v>188</v>
      </c>
      <c r="B14">
        <v>17</v>
      </c>
    </row>
    <row r="15" spans="1:2" x14ac:dyDescent="0.2">
      <c r="A15" s="10" t="s">
        <v>53</v>
      </c>
      <c r="B15">
        <v>18</v>
      </c>
    </row>
    <row r="16" spans="1:2" x14ac:dyDescent="0.2">
      <c r="A16" s="10" t="s">
        <v>9</v>
      </c>
      <c r="B16">
        <v>15</v>
      </c>
    </row>
    <row r="17" spans="1:2" x14ac:dyDescent="0.2">
      <c r="A17" s="10" t="s">
        <v>184</v>
      </c>
      <c r="B17">
        <v>20</v>
      </c>
    </row>
    <row r="18" spans="1:2" x14ac:dyDescent="0.2">
      <c r="A18" s="10" t="s">
        <v>7</v>
      </c>
      <c r="B18">
        <v>21</v>
      </c>
    </row>
    <row r="19" spans="1:2" x14ac:dyDescent="0.2">
      <c r="A19" s="10" t="s">
        <v>28</v>
      </c>
      <c r="B19">
        <v>22</v>
      </c>
    </row>
    <row r="20" spans="1:2" x14ac:dyDescent="0.2">
      <c r="A20" s="10" t="s">
        <v>81</v>
      </c>
      <c r="B20">
        <v>23</v>
      </c>
    </row>
    <row r="21" spans="1:2" x14ac:dyDescent="0.2">
      <c r="A21" s="10" t="s">
        <v>14</v>
      </c>
      <c r="B21">
        <v>7</v>
      </c>
    </row>
    <row r="22" spans="1:2" x14ac:dyDescent="0.2">
      <c r="A22" s="10" t="s">
        <v>65</v>
      </c>
      <c r="B22">
        <v>8</v>
      </c>
    </row>
    <row r="23" spans="1:2" x14ac:dyDescent="0.2">
      <c r="A23" s="10" t="s">
        <v>167</v>
      </c>
      <c r="B23">
        <v>29</v>
      </c>
    </row>
    <row r="24" spans="1:2" x14ac:dyDescent="0.2">
      <c r="A24" s="10" t="s">
        <v>189</v>
      </c>
      <c r="B24">
        <v>19</v>
      </c>
    </row>
    <row r="25" spans="1:2" x14ac:dyDescent="0.2">
      <c r="A25" s="10" t="s">
        <v>38</v>
      </c>
      <c r="B25">
        <v>24</v>
      </c>
    </row>
    <row r="26" spans="1:2" x14ac:dyDescent="0.2">
      <c r="A26" s="10" t="s">
        <v>173</v>
      </c>
      <c r="B26">
        <v>25</v>
      </c>
    </row>
    <row r="27" spans="1:2" x14ac:dyDescent="0.2">
      <c r="A27" s="10" t="s">
        <v>190</v>
      </c>
      <c r="B27">
        <v>26</v>
      </c>
    </row>
    <row r="28" spans="1:2" x14ac:dyDescent="0.2">
      <c r="A28" s="10" t="s">
        <v>170</v>
      </c>
      <c r="B28">
        <v>11</v>
      </c>
    </row>
    <row r="29" spans="1:2" x14ac:dyDescent="0.2">
      <c r="A29" s="10" t="s">
        <v>95</v>
      </c>
      <c r="B29">
        <v>27</v>
      </c>
    </row>
    <row r="30" spans="1:2" x14ac:dyDescent="0.2">
      <c r="A30" s="10" t="s">
        <v>94</v>
      </c>
      <c r="B30">
        <v>28</v>
      </c>
    </row>
    <row r="31" spans="1:2" x14ac:dyDescent="0.2">
      <c r="A31" s="10" t="s">
        <v>75</v>
      </c>
      <c r="B31">
        <v>30</v>
      </c>
    </row>
    <row r="32" spans="1:2" x14ac:dyDescent="0.2">
      <c r="A32" s="10" t="s">
        <v>52</v>
      </c>
      <c r="B32">
        <v>31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DCB9-B0E5-482A-A41F-FF995EAD9E06}">
  <sheetPr codeName="Arkusz11"/>
  <dimension ref="A1:B38"/>
  <sheetViews>
    <sheetView workbookViewId="0">
      <selection activeCell="C8" sqref="C8"/>
    </sheetView>
  </sheetViews>
  <sheetFormatPr defaultRowHeight="12.75" x14ac:dyDescent="0.2"/>
  <cols>
    <col min="1" max="1" width="30.5703125" bestFit="1" customWidth="1"/>
    <col min="2" max="3" width="18.85546875" bestFit="1" customWidth="1"/>
    <col min="4" max="4" width="30.5703125" bestFit="1" customWidth="1"/>
  </cols>
  <sheetData>
    <row r="1" spans="1:2" x14ac:dyDescent="0.2">
      <c r="A1" t="s">
        <v>218</v>
      </c>
      <c r="B1" t="s">
        <v>214</v>
      </c>
    </row>
    <row r="2" spans="1:2" x14ac:dyDescent="0.2">
      <c r="A2" s="10" t="s">
        <v>187</v>
      </c>
      <c r="B2">
        <v>1</v>
      </c>
    </row>
    <row r="3" spans="1:2" x14ac:dyDescent="0.2">
      <c r="A3" s="10" t="s">
        <v>168</v>
      </c>
      <c r="B3">
        <v>2</v>
      </c>
    </row>
    <row r="4" spans="1:2" x14ac:dyDescent="0.2">
      <c r="A4" s="10" t="s">
        <v>111</v>
      </c>
      <c r="B4">
        <v>3</v>
      </c>
    </row>
    <row r="5" spans="1:2" x14ac:dyDescent="0.2">
      <c r="A5" s="10" t="s">
        <v>30</v>
      </c>
      <c r="B5">
        <v>4</v>
      </c>
    </row>
    <row r="6" spans="1:2" x14ac:dyDescent="0.2">
      <c r="A6" s="10" t="s">
        <v>24</v>
      </c>
      <c r="B6">
        <v>5</v>
      </c>
    </row>
    <row r="7" spans="1:2" x14ac:dyDescent="0.2">
      <c r="A7" s="10" t="s">
        <v>183</v>
      </c>
      <c r="B7">
        <v>6</v>
      </c>
    </row>
    <row r="8" spans="1:2" x14ac:dyDescent="0.2">
      <c r="A8" s="10" t="s">
        <v>33</v>
      </c>
      <c r="B8">
        <v>7</v>
      </c>
    </row>
    <row r="9" spans="1:2" x14ac:dyDescent="0.2">
      <c r="A9" s="10" t="s">
        <v>171</v>
      </c>
      <c r="B9">
        <v>8</v>
      </c>
    </row>
    <row r="10" spans="1:2" x14ac:dyDescent="0.2">
      <c r="A10" s="10" t="s">
        <v>50</v>
      </c>
      <c r="B10">
        <v>10</v>
      </c>
    </row>
    <row r="11" spans="1:2" x14ac:dyDescent="0.2">
      <c r="A11" s="10" t="s">
        <v>48</v>
      </c>
      <c r="B11">
        <v>9</v>
      </c>
    </row>
    <row r="12" spans="1:2" x14ac:dyDescent="0.2">
      <c r="A12" s="10" t="s">
        <v>169</v>
      </c>
      <c r="B12">
        <v>11</v>
      </c>
    </row>
    <row r="13" spans="1:2" x14ac:dyDescent="0.2">
      <c r="A13" s="10" t="s">
        <v>45</v>
      </c>
      <c r="B13">
        <v>12</v>
      </c>
    </row>
    <row r="14" spans="1:2" x14ac:dyDescent="0.2">
      <c r="A14" s="10" t="s">
        <v>118</v>
      </c>
      <c r="B14">
        <v>13</v>
      </c>
    </row>
    <row r="15" spans="1:2" x14ac:dyDescent="0.2">
      <c r="A15" s="10" t="s">
        <v>26</v>
      </c>
      <c r="B15">
        <v>14</v>
      </c>
    </row>
    <row r="16" spans="1:2" x14ac:dyDescent="0.2">
      <c r="A16" s="10" t="s">
        <v>91</v>
      </c>
      <c r="B16">
        <v>15</v>
      </c>
    </row>
    <row r="17" spans="1:2" x14ac:dyDescent="0.2">
      <c r="A17" s="10" t="s">
        <v>53</v>
      </c>
      <c r="B17">
        <v>16</v>
      </c>
    </row>
    <row r="18" spans="1:2" x14ac:dyDescent="0.2">
      <c r="A18" s="10" t="s">
        <v>9</v>
      </c>
      <c r="B18">
        <v>17</v>
      </c>
    </row>
    <row r="19" spans="1:2" x14ac:dyDescent="0.2">
      <c r="A19" s="10" t="s">
        <v>184</v>
      </c>
      <c r="B19">
        <v>18</v>
      </c>
    </row>
    <row r="20" spans="1:2" x14ac:dyDescent="0.2">
      <c r="A20" s="10" t="s">
        <v>185</v>
      </c>
      <c r="B20">
        <v>19</v>
      </c>
    </row>
    <row r="21" spans="1:2" x14ac:dyDescent="0.2">
      <c r="A21" s="10" t="s">
        <v>172</v>
      </c>
      <c r="B21">
        <v>20</v>
      </c>
    </row>
    <row r="22" spans="1:2" x14ac:dyDescent="0.2">
      <c r="A22" s="10" t="s">
        <v>4</v>
      </c>
      <c r="B22">
        <v>21</v>
      </c>
    </row>
    <row r="23" spans="1:2" x14ac:dyDescent="0.2">
      <c r="A23" s="10" t="s">
        <v>28</v>
      </c>
      <c r="B23">
        <v>22</v>
      </c>
    </row>
    <row r="24" spans="1:2" x14ac:dyDescent="0.2">
      <c r="A24" s="10" t="s">
        <v>164</v>
      </c>
      <c r="B24">
        <v>24</v>
      </c>
    </row>
    <row r="25" spans="1:2" x14ac:dyDescent="0.2">
      <c r="A25" s="10" t="s">
        <v>81</v>
      </c>
      <c r="B25">
        <v>23</v>
      </c>
    </row>
    <row r="26" spans="1:2" x14ac:dyDescent="0.2">
      <c r="A26" s="10" t="s">
        <v>14</v>
      </c>
      <c r="B26">
        <v>25</v>
      </c>
    </row>
    <row r="27" spans="1:2" x14ac:dyDescent="0.2">
      <c r="A27" s="10" t="s">
        <v>65</v>
      </c>
      <c r="B27">
        <v>26</v>
      </c>
    </row>
    <row r="28" spans="1:2" x14ac:dyDescent="0.2">
      <c r="A28" s="10" t="s">
        <v>167</v>
      </c>
      <c r="B28">
        <v>27</v>
      </c>
    </row>
    <row r="29" spans="1:2" x14ac:dyDescent="0.2">
      <c r="A29" s="10" t="s">
        <v>38</v>
      </c>
      <c r="B29">
        <v>28</v>
      </c>
    </row>
    <row r="30" spans="1:2" x14ac:dyDescent="0.2">
      <c r="A30" s="10" t="s">
        <v>173</v>
      </c>
      <c r="B30">
        <v>29</v>
      </c>
    </row>
    <row r="31" spans="1:2" x14ac:dyDescent="0.2">
      <c r="A31" s="10" t="s">
        <v>166</v>
      </c>
      <c r="B31">
        <v>30</v>
      </c>
    </row>
    <row r="32" spans="1:2" x14ac:dyDescent="0.2">
      <c r="A32" s="10" t="s">
        <v>170</v>
      </c>
      <c r="B32">
        <v>31</v>
      </c>
    </row>
    <row r="33" spans="1:2" x14ac:dyDescent="0.2">
      <c r="A33" s="10" t="s">
        <v>95</v>
      </c>
      <c r="B33">
        <v>32</v>
      </c>
    </row>
    <row r="34" spans="1:2" x14ac:dyDescent="0.2">
      <c r="A34" s="10" t="s">
        <v>186</v>
      </c>
      <c r="B34">
        <v>33</v>
      </c>
    </row>
    <row r="35" spans="1:2" x14ac:dyDescent="0.2">
      <c r="A35" s="10" t="s">
        <v>94</v>
      </c>
      <c r="B35">
        <v>34</v>
      </c>
    </row>
    <row r="36" spans="1:2" x14ac:dyDescent="0.2">
      <c r="A36" s="10" t="s">
        <v>75</v>
      </c>
      <c r="B36">
        <v>35</v>
      </c>
    </row>
    <row r="37" spans="1:2" x14ac:dyDescent="0.2">
      <c r="A37" s="10" t="s">
        <v>52</v>
      </c>
      <c r="B37">
        <v>36</v>
      </c>
    </row>
    <row r="38" spans="1:2" x14ac:dyDescent="0.2">
      <c r="A38" s="10" t="s">
        <v>165</v>
      </c>
      <c r="B38">
        <v>37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14"/>
  <dimension ref="A1:K200"/>
  <sheetViews>
    <sheetView workbookViewId="0">
      <pane ySplit="1" topLeftCell="A2" activePane="bottomLeft" state="frozen"/>
      <selection pane="bottomLeft" activeCell="C25" sqref="C25"/>
    </sheetView>
  </sheetViews>
  <sheetFormatPr defaultColWidth="14.42578125" defaultRowHeight="15.75" customHeight="1" x14ac:dyDescent="0.2"/>
  <cols>
    <col min="1" max="1" width="23.5703125" style="1" bestFit="1" customWidth="1"/>
    <col min="2" max="2" width="82.140625" style="1" bestFit="1" customWidth="1"/>
    <col min="3" max="3" width="105.85546875" style="1" bestFit="1" customWidth="1"/>
    <col min="4" max="4" width="152.85546875" style="1" bestFit="1" customWidth="1"/>
    <col min="5" max="5" width="15" style="1" bestFit="1" customWidth="1"/>
    <col min="6" max="6" width="58.7109375" style="1" bestFit="1" customWidth="1"/>
    <col min="7" max="7" width="168.28515625" style="1" bestFit="1" customWidth="1"/>
    <col min="8" max="8" width="10.5703125" style="1" bestFit="1" customWidth="1"/>
    <col min="9" max="9" width="10.140625" style="1" bestFit="1" customWidth="1"/>
    <col min="10" max="10" width="62.140625" style="1" bestFit="1" customWidth="1"/>
    <col min="11" max="11" width="19.28515625" style="1" bestFit="1" customWidth="1"/>
    <col min="12" max="16384" width="14.42578125" style="1"/>
  </cols>
  <sheetData>
    <row r="1" spans="1:11" s="4" customFormat="1" ht="12.75" x14ac:dyDescent="0.2">
      <c r="A1" s="2" t="s">
        <v>0</v>
      </c>
      <c r="B1" s="3" t="s">
        <v>86</v>
      </c>
      <c r="C1" s="3" t="s">
        <v>87</v>
      </c>
      <c r="D1" s="3" t="s">
        <v>88</v>
      </c>
      <c r="E1" s="3" t="s">
        <v>182</v>
      </c>
      <c r="F1" s="3" t="s">
        <v>89</v>
      </c>
      <c r="G1" s="3" t="s">
        <v>90</v>
      </c>
      <c r="H1" s="3" t="s">
        <v>1</v>
      </c>
      <c r="I1" s="3" t="s">
        <v>2</v>
      </c>
      <c r="J1" s="3" t="s">
        <v>3</v>
      </c>
      <c r="K1" s="3" t="s">
        <v>177</v>
      </c>
    </row>
    <row r="2" spans="1:11" ht="12.75" x14ac:dyDescent="0.2">
      <c r="A2" s="5">
        <v>42860.598111909727</v>
      </c>
      <c r="B2" s="6" t="s">
        <v>30</v>
      </c>
      <c r="C2" s="6" t="s">
        <v>174</v>
      </c>
      <c r="D2" s="6" t="s">
        <v>15</v>
      </c>
      <c r="E2" s="6" t="b">
        <v>0</v>
      </c>
      <c r="F2" s="6" t="s">
        <v>30</v>
      </c>
      <c r="G2" s="6" t="s">
        <v>17</v>
      </c>
      <c r="H2" s="6" t="s">
        <v>8</v>
      </c>
      <c r="I2" s="6">
        <v>18</v>
      </c>
      <c r="J2" s="6" t="s">
        <v>160</v>
      </c>
      <c r="K2" s="12" t="b">
        <v>0</v>
      </c>
    </row>
    <row r="3" spans="1:11" ht="12.75" x14ac:dyDescent="0.2">
      <c r="A3" s="5">
        <v>42858.565705023153</v>
      </c>
      <c r="B3" s="6" t="s">
        <v>32</v>
      </c>
      <c r="C3" s="6" t="s">
        <v>174</v>
      </c>
      <c r="D3" s="6" t="s">
        <v>10</v>
      </c>
      <c r="E3" s="6" t="b">
        <v>1</v>
      </c>
      <c r="F3" s="6" t="s">
        <v>9</v>
      </c>
      <c r="G3" s="6" t="s">
        <v>122</v>
      </c>
      <c r="H3" s="6" t="s">
        <v>8</v>
      </c>
      <c r="I3" s="6">
        <v>18</v>
      </c>
      <c r="J3" s="6" t="s">
        <v>141</v>
      </c>
      <c r="K3" s="6" t="b">
        <v>0</v>
      </c>
    </row>
    <row r="4" spans="1:11" ht="12.75" x14ac:dyDescent="0.2">
      <c r="A4" s="5">
        <v>42859.830878472218</v>
      </c>
      <c r="B4" s="6" t="s">
        <v>99</v>
      </c>
      <c r="C4" s="6" t="s">
        <v>178</v>
      </c>
      <c r="D4" s="6" t="s">
        <v>21</v>
      </c>
      <c r="E4" s="6" t="b">
        <v>1</v>
      </c>
      <c r="F4" s="6" t="s">
        <v>19</v>
      </c>
      <c r="G4" s="6" t="s">
        <v>135</v>
      </c>
      <c r="H4" s="6" t="s">
        <v>8</v>
      </c>
      <c r="I4" s="6">
        <v>19</v>
      </c>
      <c r="J4" s="6" t="s">
        <v>162</v>
      </c>
      <c r="K4" s="6" t="b">
        <v>0</v>
      </c>
    </row>
    <row r="5" spans="1:11" ht="12.75" x14ac:dyDescent="0.2">
      <c r="A5" s="5">
        <v>42858.533487719906</v>
      </c>
      <c r="B5" s="6" t="s">
        <v>4</v>
      </c>
      <c r="C5" s="6" t="s">
        <v>5</v>
      </c>
      <c r="D5" s="6" t="s">
        <v>6</v>
      </c>
      <c r="E5" s="6" t="b">
        <v>0</v>
      </c>
      <c r="F5" s="6" t="s">
        <v>7</v>
      </c>
      <c r="G5" s="6" t="s">
        <v>7</v>
      </c>
      <c r="H5" s="6" t="s">
        <v>8</v>
      </c>
      <c r="I5" s="6">
        <v>19</v>
      </c>
      <c r="J5" s="6" t="s">
        <v>51</v>
      </c>
      <c r="K5" s="6" t="b">
        <v>0</v>
      </c>
    </row>
    <row r="6" spans="1:11" ht="12.75" x14ac:dyDescent="0.2">
      <c r="A6" s="5">
        <v>42860.435368993058</v>
      </c>
      <c r="B6" s="6" t="s">
        <v>32</v>
      </c>
      <c r="C6" s="6" t="s">
        <v>174</v>
      </c>
      <c r="D6" s="6" t="s">
        <v>10</v>
      </c>
      <c r="E6" s="6" t="b">
        <v>1</v>
      </c>
      <c r="F6" s="6" t="s">
        <v>32</v>
      </c>
      <c r="G6" s="6" t="s">
        <v>43</v>
      </c>
      <c r="H6" s="6" t="s">
        <v>8</v>
      </c>
      <c r="I6" s="6">
        <v>19</v>
      </c>
      <c r="J6" s="6" t="s">
        <v>161</v>
      </c>
      <c r="K6" s="6" t="b">
        <v>1</v>
      </c>
    </row>
    <row r="7" spans="1:11" ht="12.75" x14ac:dyDescent="0.2">
      <c r="A7" s="5">
        <v>42857.75304693287</v>
      </c>
      <c r="B7" s="6" t="s">
        <v>14</v>
      </c>
      <c r="C7" s="6" t="s">
        <v>5</v>
      </c>
      <c r="D7" s="6" t="s">
        <v>15</v>
      </c>
      <c r="E7" s="6" t="b">
        <v>1</v>
      </c>
      <c r="F7" s="6" t="s">
        <v>16</v>
      </c>
      <c r="G7" s="6" t="s">
        <v>17</v>
      </c>
      <c r="H7" s="6" t="s">
        <v>8</v>
      </c>
      <c r="I7" s="6">
        <v>19</v>
      </c>
      <c r="J7" s="6" t="s">
        <v>141</v>
      </c>
      <c r="K7" s="6" t="b">
        <v>0</v>
      </c>
    </row>
    <row r="8" spans="1:11" ht="12.75" x14ac:dyDescent="0.2">
      <c r="A8" s="5">
        <v>42857.757883530096</v>
      </c>
      <c r="B8" s="6" t="s">
        <v>98</v>
      </c>
      <c r="C8" s="6" t="s">
        <v>174</v>
      </c>
      <c r="D8" s="6" t="s">
        <v>21</v>
      </c>
      <c r="E8" s="6" t="b">
        <v>1</v>
      </c>
      <c r="F8" s="6" t="s">
        <v>22</v>
      </c>
      <c r="G8" s="6" t="s">
        <v>122</v>
      </c>
      <c r="H8" s="6" t="s">
        <v>8</v>
      </c>
      <c r="I8" s="6">
        <v>19</v>
      </c>
      <c r="J8" s="6" t="s">
        <v>141</v>
      </c>
      <c r="K8" s="6" t="b">
        <v>1</v>
      </c>
    </row>
    <row r="9" spans="1:11" ht="12.75" x14ac:dyDescent="0.2">
      <c r="A9" s="5">
        <v>42857.762932488426</v>
      </c>
      <c r="B9" s="6" t="s">
        <v>91</v>
      </c>
      <c r="C9" s="6" t="s">
        <v>5</v>
      </c>
      <c r="D9" s="6" t="s">
        <v>6</v>
      </c>
      <c r="E9" s="6" t="b">
        <v>1</v>
      </c>
      <c r="F9" s="6" t="s">
        <v>91</v>
      </c>
      <c r="G9" s="6" t="s">
        <v>7</v>
      </c>
      <c r="H9" s="6" t="s">
        <v>8</v>
      </c>
      <c r="I9" s="6">
        <v>19</v>
      </c>
      <c r="J9" s="6" t="s">
        <v>141</v>
      </c>
      <c r="K9" s="6" t="b">
        <v>0</v>
      </c>
    </row>
    <row r="10" spans="1:11" ht="12.75" x14ac:dyDescent="0.2">
      <c r="A10" s="5">
        <v>42857.76751528935</v>
      </c>
      <c r="B10" s="6" t="s">
        <v>4</v>
      </c>
      <c r="C10" s="6" t="s">
        <v>176</v>
      </c>
      <c r="D10" s="6" t="s">
        <v>15</v>
      </c>
      <c r="E10" s="6" t="b">
        <v>1</v>
      </c>
      <c r="F10" s="6" t="s">
        <v>19</v>
      </c>
      <c r="G10" s="6" t="s">
        <v>123</v>
      </c>
      <c r="H10" s="6" t="s">
        <v>8</v>
      </c>
      <c r="I10" s="6">
        <v>19</v>
      </c>
      <c r="J10" s="6" t="s">
        <v>141</v>
      </c>
      <c r="K10" s="6" t="b">
        <v>0</v>
      </c>
    </row>
    <row r="11" spans="1:11" ht="12.75" x14ac:dyDescent="0.2">
      <c r="A11" s="5">
        <v>42857.807404652776</v>
      </c>
      <c r="B11" s="6" t="s">
        <v>33</v>
      </c>
      <c r="C11" s="6" t="s">
        <v>174</v>
      </c>
      <c r="D11" s="6" t="s">
        <v>25</v>
      </c>
      <c r="E11" s="6" t="b">
        <v>1</v>
      </c>
      <c r="F11" s="6" t="s">
        <v>33</v>
      </c>
      <c r="G11" s="6" t="s">
        <v>133</v>
      </c>
      <c r="H11" s="6" t="s">
        <v>8</v>
      </c>
      <c r="I11" s="6">
        <v>19</v>
      </c>
      <c r="J11" s="6" t="s">
        <v>141</v>
      </c>
      <c r="K11" s="6" t="b">
        <v>0</v>
      </c>
    </row>
    <row r="12" spans="1:11" ht="12.75" x14ac:dyDescent="0.2">
      <c r="A12" s="5">
        <v>42857.904592094907</v>
      </c>
      <c r="B12" s="6" t="s">
        <v>44</v>
      </c>
      <c r="C12" s="6" t="s">
        <v>176</v>
      </c>
      <c r="D12" s="6" t="s">
        <v>10</v>
      </c>
      <c r="E12" s="6" t="b">
        <v>1</v>
      </c>
      <c r="F12" s="6" t="s">
        <v>35</v>
      </c>
      <c r="G12" s="6" t="s">
        <v>29</v>
      </c>
      <c r="H12" s="6" t="s">
        <v>8</v>
      </c>
      <c r="I12" s="6">
        <v>19</v>
      </c>
      <c r="J12" s="6" t="s">
        <v>141</v>
      </c>
      <c r="K12" s="6" t="b">
        <v>1</v>
      </c>
    </row>
    <row r="13" spans="1:11" ht="12.75" x14ac:dyDescent="0.2">
      <c r="A13" s="5">
        <v>42858.459512314817</v>
      </c>
      <c r="B13" s="6" t="s">
        <v>9</v>
      </c>
      <c r="C13" s="6" t="s">
        <v>176</v>
      </c>
      <c r="D13" s="6" t="s">
        <v>25</v>
      </c>
      <c r="E13" s="6" t="b">
        <v>0</v>
      </c>
      <c r="F13" s="6" t="s">
        <v>19</v>
      </c>
      <c r="G13" s="6" t="s">
        <v>43</v>
      </c>
      <c r="H13" s="6" t="s">
        <v>8</v>
      </c>
      <c r="I13" s="6">
        <v>19</v>
      </c>
      <c r="J13" s="6" t="s">
        <v>141</v>
      </c>
      <c r="K13" s="6" t="b">
        <v>1</v>
      </c>
    </row>
    <row r="14" spans="1:11" ht="12.75" x14ac:dyDescent="0.2">
      <c r="A14" s="5">
        <v>42858.598552187497</v>
      </c>
      <c r="B14" s="6" t="s">
        <v>91</v>
      </c>
      <c r="C14" s="6" t="s">
        <v>5</v>
      </c>
      <c r="D14" s="6" t="s">
        <v>42</v>
      </c>
      <c r="E14" s="6" t="b">
        <v>1</v>
      </c>
      <c r="F14" s="6" t="s">
        <v>113</v>
      </c>
      <c r="G14" s="6" t="s">
        <v>127</v>
      </c>
      <c r="H14" s="6" t="s">
        <v>8</v>
      </c>
      <c r="I14" s="6">
        <v>19</v>
      </c>
      <c r="J14" s="6" t="s">
        <v>141</v>
      </c>
      <c r="K14" s="6" t="b">
        <v>0</v>
      </c>
    </row>
    <row r="15" spans="1:11" ht="12.75" x14ac:dyDescent="0.2">
      <c r="A15" s="5">
        <v>42859.697580312495</v>
      </c>
      <c r="B15" s="6" t="s">
        <v>33</v>
      </c>
      <c r="C15" s="6" t="s">
        <v>5</v>
      </c>
      <c r="D15" s="6" t="s">
        <v>10</v>
      </c>
      <c r="E15" s="6" t="b">
        <v>1</v>
      </c>
      <c r="F15" s="6" t="s">
        <v>33</v>
      </c>
      <c r="G15" s="6" t="s">
        <v>133</v>
      </c>
      <c r="H15" s="6" t="s">
        <v>8</v>
      </c>
      <c r="I15" s="6">
        <v>19</v>
      </c>
      <c r="J15" s="6" t="s">
        <v>141</v>
      </c>
      <c r="K15" s="6" t="b">
        <v>0</v>
      </c>
    </row>
    <row r="16" spans="1:11" ht="12.75" x14ac:dyDescent="0.2">
      <c r="A16" s="5">
        <v>42858.805619999999</v>
      </c>
      <c r="B16" s="6" t="s">
        <v>4</v>
      </c>
      <c r="C16" s="6" t="s">
        <v>5</v>
      </c>
      <c r="D16" s="6" t="s">
        <v>6</v>
      </c>
      <c r="E16" s="6" t="b">
        <v>0</v>
      </c>
      <c r="F16" s="6" t="s">
        <v>7</v>
      </c>
      <c r="G16" s="6" t="s">
        <v>7</v>
      </c>
      <c r="H16" s="6" t="s">
        <v>8</v>
      </c>
      <c r="I16" s="6">
        <v>19</v>
      </c>
      <c r="J16" s="6" t="s">
        <v>153</v>
      </c>
      <c r="K16" s="6" t="b">
        <v>0</v>
      </c>
    </row>
    <row r="17" spans="1:11" ht="12.75" x14ac:dyDescent="0.2">
      <c r="A17" s="5">
        <v>42860.07327040509</v>
      </c>
      <c r="B17" s="6" t="s">
        <v>101</v>
      </c>
      <c r="C17" s="6" t="s">
        <v>176</v>
      </c>
      <c r="D17" s="6" t="s">
        <v>47</v>
      </c>
      <c r="E17" s="6" t="b">
        <v>1</v>
      </c>
      <c r="F17" s="6" t="s">
        <v>38</v>
      </c>
      <c r="G17" s="6" t="s">
        <v>122</v>
      </c>
      <c r="H17" s="6" t="s">
        <v>8</v>
      </c>
      <c r="I17" s="6">
        <v>19</v>
      </c>
      <c r="J17" s="6" t="s">
        <v>153</v>
      </c>
      <c r="K17" s="6" t="b">
        <v>0</v>
      </c>
    </row>
    <row r="18" spans="1:11" ht="12.75" x14ac:dyDescent="0.2">
      <c r="A18" s="5">
        <v>42859.693229317127</v>
      </c>
      <c r="B18" s="6" t="s">
        <v>4</v>
      </c>
      <c r="C18" s="6" t="s">
        <v>12</v>
      </c>
      <c r="D18" s="6" t="s">
        <v>6</v>
      </c>
      <c r="E18" s="6" t="b">
        <v>0</v>
      </c>
      <c r="F18" s="6" t="s">
        <v>7</v>
      </c>
      <c r="G18" s="6" t="s">
        <v>7</v>
      </c>
      <c r="H18" s="6" t="s">
        <v>13</v>
      </c>
      <c r="I18" s="6">
        <v>19</v>
      </c>
      <c r="J18" s="6" t="s">
        <v>69</v>
      </c>
      <c r="K18" s="6" t="b">
        <v>0</v>
      </c>
    </row>
    <row r="19" spans="1:11" ht="12.75" x14ac:dyDescent="0.2">
      <c r="A19" s="5">
        <v>42859.966005393522</v>
      </c>
      <c r="B19" s="6" t="s">
        <v>4</v>
      </c>
      <c r="C19" s="6" t="s">
        <v>176</v>
      </c>
      <c r="D19" s="6" t="s">
        <v>6</v>
      </c>
      <c r="E19" s="6" t="b">
        <v>1</v>
      </c>
      <c r="F19" s="6" t="s">
        <v>61</v>
      </c>
      <c r="G19" s="6" t="s">
        <v>7</v>
      </c>
      <c r="H19" s="6" t="s">
        <v>8</v>
      </c>
      <c r="I19" s="6">
        <v>19</v>
      </c>
      <c r="J19" s="6" t="s">
        <v>69</v>
      </c>
      <c r="K19" s="6" t="b">
        <v>0</v>
      </c>
    </row>
    <row r="20" spans="1:11" ht="12.75" x14ac:dyDescent="0.2">
      <c r="A20" s="5">
        <v>42859.817098032407</v>
      </c>
      <c r="B20" s="6" t="s">
        <v>4</v>
      </c>
      <c r="C20" s="6" t="s">
        <v>12</v>
      </c>
      <c r="D20" s="6" t="s">
        <v>6</v>
      </c>
      <c r="E20" s="6" t="b">
        <v>0</v>
      </c>
      <c r="F20" s="6" t="s">
        <v>7</v>
      </c>
      <c r="G20" s="6" t="s">
        <v>7</v>
      </c>
      <c r="H20" s="6" t="s">
        <v>13</v>
      </c>
      <c r="I20" s="6">
        <v>19</v>
      </c>
      <c r="J20" s="6" t="s">
        <v>62</v>
      </c>
      <c r="K20" s="6" t="b">
        <v>0</v>
      </c>
    </row>
    <row r="21" spans="1:11" ht="12.75" x14ac:dyDescent="0.2">
      <c r="A21" s="5">
        <v>42860.059228252314</v>
      </c>
      <c r="B21" s="6" t="s">
        <v>4</v>
      </c>
      <c r="C21" s="6" t="s">
        <v>5</v>
      </c>
      <c r="D21" s="6" t="s">
        <v>6</v>
      </c>
      <c r="E21" s="6" t="b">
        <v>0</v>
      </c>
      <c r="F21" s="6" t="s">
        <v>7</v>
      </c>
      <c r="G21" s="6" t="s">
        <v>7</v>
      </c>
      <c r="H21" s="6" t="s">
        <v>13</v>
      </c>
      <c r="I21" s="6">
        <v>19</v>
      </c>
      <c r="J21" s="6" t="s">
        <v>62</v>
      </c>
      <c r="K21" s="6" t="b">
        <v>0</v>
      </c>
    </row>
    <row r="22" spans="1:11" ht="12.75" x14ac:dyDescent="0.2">
      <c r="A22" s="5">
        <v>42862.966567731477</v>
      </c>
      <c r="B22" s="6" t="s">
        <v>19</v>
      </c>
      <c r="C22" s="6" t="s">
        <v>178</v>
      </c>
      <c r="D22" s="6" t="s">
        <v>21</v>
      </c>
      <c r="E22" s="6" t="b">
        <v>1</v>
      </c>
      <c r="F22" s="6" t="s">
        <v>19</v>
      </c>
      <c r="G22" s="6" t="s">
        <v>43</v>
      </c>
      <c r="H22" s="6" t="s">
        <v>13</v>
      </c>
      <c r="I22" s="6">
        <v>19</v>
      </c>
      <c r="J22" s="6" t="s">
        <v>155</v>
      </c>
      <c r="K22" s="6" t="b">
        <v>1</v>
      </c>
    </row>
    <row r="23" spans="1:11" ht="12.75" x14ac:dyDescent="0.2">
      <c r="A23" s="5">
        <v>42863.272747222218</v>
      </c>
      <c r="B23" s="6" t="s">
        <v>9</v>
      </c>
      <c r="C23" s="6" t="s">
        <v>174</v>
      </c>
      <c r="D23" s="6" t="s">
        <v>10</v>
      </c>
      <c r="E23" s="6" t="b">
        <v>1</v>
      </c>
      <c r="F23" s="6" t="s">
        <v>9</v>
      </c>
      <c r="G23" s="6" t="s">
        <v>122</v>
      </c>
      <c r="H23" s="6" t="s">
        <v>8</v>
      </c>
      <c r="I23" s="6">
        <v>19</v>
      </c>
      <c r="J23" s="6" t="s">
        <v>155</v>
      </c>
      <c r="K23" s="6" t="b">
        <v>0</v>
      </c>
    </row>
    <row r="24" spans="1:11" ht="12.75" x14ac:dyDescent="0.2">
      <c r="A24" s="5">
        <v>42857.750971759262</v>
      </c>
      <c r="B24" s="6" t="s">
        <v>4</v>
      </c>
      <c r="C24" s="6" t="s">
        <v>12</v>
      </c>
      <c r="D24" s="6" t="s">
        <v>6</v>
      </c>
      <c r="E24" s="6" t="b">
        <v>0</v>
      </c>
      <c r="F24" s="6" t="s">
        <v>7</v>
      </c>
      <c r="G24" s="6" t="s">
        <v>7</v>
      </c>
      <c r="H24" s="6" t="s">
        <v>13</v>
      </c>
      <c r="I24" s="6">
        <v>19</v>
      </c>
      <c r="J24" s="6" t="s">
        <v>27</v>
      </c>
      <c r="K24" s="6" t="b">
        <v>0</v>
      </c>
    </row>
    <row r="25" spans="1:11" ht="12.75" x14ac:dyDescent="0.2">
      <c r="A25" s="5">
        <v>42858.396546736112</v>
      </c>
      <c r="B25" s="6" t="s">
        <v>9</v>
      </c>
      <c r="C25" s="6" t="s">
        <v>176</v>
      </c>
      <c r="D25" s="6" t="s">
        <v>10</v>
      </c>
      <c r="E25" s="6" t="b">
        <v>1</v>
      </c>
      <c r="F25" s="6" t="s">
        <v>19</v>
      </c>
      <c r="G25" s="6" t="s">
        <v>20</v>
      </c>
      <c r="H25" s="6" t="s">
        <v>8</v>
      </c>
      <c r="I25" s="6">
        <v>19</v>
      </c>
      <c r="J25" s="6" t="s">
        <v>27</v>
      </c>
      <c r="K25" s="6" t="b">
        <v>0</v>
      </c>
    </row>
    <row r="26" spans="1:11" ht="12.75" x14ac:dyDescent="0.2">
      <c r="A26" s="5">
        <v>42863.391696296298</v>
      </c>
      <c r="B26" s="6" t="s">
        <v>30</v>
      </c>
      <c r="C26" s="6" t="s">
        <v>175</v>
      </c>
      <c r="D26" s="6" t="s">
        <v>47</v>
      </c>
      <c r="E26" s="6" t="b">
        <v>1</v>
      </c>
      <c r="F26" s="6" t="s">
        <v>30</v>
      </c>
      <c r="G26" s="6" t="s">
        <v>31</v>
      </c>
      <c r="H26" s="6" t="s">
        <v>8</v>
      </c>
      <c r="I26" s="6">
        <v>19</v>
      </c>
      <c r="J26" s="6" t="s">
        <v>27</v>
      </c>
      <c r="K26" s="6" t="b">
        <v>0</v>
      </c>
    </row>
    <row r="27" spans="1:11" ht="12.75" x14ac:dyDescent="0.2">
      <c r="A27" s="5">
        <v>42862.763759155088</v>
      </c>
      <c r="B27" s="6" t="s">
        <v>4</v>
      </c>
      <c r="C27" s="6" t="s">
        <v>174</v>
      </c>
      <c r="D27" s="6" t="s">
        <v>25</v>
      </c>
      <c r="E27" s="6" t="b">
        <v>0</v>
      </c>
      <c r="F27" s="6" t="s">
        <v>7</v>
      </c>
      <c r="G27" s="6" t="s">
        <v>7</v>
      </c>
      <c r="H27" s="6" t="s">
        <v>13</v>
      </c>
      <c r="I27" s="6">
        <v>20</v>
      </c>
      <c r="J27" s="6" t="s">
        <v>143</v>
      </c>
      <c r="K27" s="6" t="b">
        <v>0</v>
      </c>
    </row>
    <row r="28" spans="1:11" ht="12.75" x14ac:dyDescent="0.2">
      <c r="A28" s="5">
        <v>42859.581767337964</v>
      </c>
      <c r="B28" s="6" t="s">
        <v>32</v>
      </c>
      <c r="C28" s="6" t="s">
        <v>178</v>
      </c>
      <c r="D28" s="6" t="s">
        <v>21</v>
      </c>
      <c r="E28" s="6" t="b">
        <v>1</v>
      </c>
      <c r="F28" s="6" t="s">
        <v>9</v>
      </c>
      <c r="G28" s="6" t="s">
        <v>43</v>
      </c>
      <c r="H28" s="6" t="s">
        <v>8</v>
      </c>
      <c r="I28" s="6">
        <v>20</v>
      </c>
      <c r="J28" s="6" t="s">
        <v>162</v>
      </c>
      <c r="K28" s="6" t="b">
        <v>0</v>
      </c>
    </row>
    <row r="29" spans="1:11" ht="12.75" x14ac:dyDescent="0.2">
      <c r="A29" s="5">
        <v>42861.387299537033</v>
      </c>
      <c r="B29" s="6" t="s">
        <v>26</v>
      </c>
      <c r="C29" s="6" t="s">
        <v>176</v>
      </c>
      <c r="D29" s="6" t="s">
        <v>10</v>
      </c>
      <c r="E29" s="6" t="b">
        <v>0</v>
      </c>
      <c r="F29" s="6" t="s">
        <v>35</v>
      </c>
      <c r="G29" s="6" t="s">
        <v>49</v>
      </c>
      <c r="H29" s="6" t="s">
        <v>8</v>
      </c>
      <c r="I29" s="6">
        <v>20</v>
      </c>
      <c r="J29" s="6" t="s">
        <v>162</v>
      </c>
      <c r="K29" s="6" t="b">
        <v>0</v>
      </c>
    </row>
    <row r="30" spans="1:11" ht="12.75" x14ac:dyDescent="0.2">
      <c r="A30" s="5">
        <v>42858.549997754628</v>
      </c>
      <c r="B30" s="6" t="s">
        <v>4</v>
      </c>
      <c r="C30" s="6" t="s">
        <v>5</v>
      </c>
      <c r="D30" s="6" t="s">
        <v>6</v>
      </c>
      <c r="E30" s="6" t="b">
        <v>0</v>
      </c>
      <c r="F30" s="6" t="s">
        <v>7</v>
      </c>
      <c r="G30" s="6" t="s">
        <v>7</v>
      </c>
      <c r="H30" s="6" t="s">
        <v>13</v>
      </c>
      <c r="I30" s="6">
        <v>20</v>
      </c>
      <c r="J30" s="6" t="s">
        <v>51</v>
      </c>
      <c r="K30" s="6" t="b">
        <v>0</v>
      </c>
    </row>
    <row r="31" spans="1:11" ht="12.75" x14ac:dyDescent="0.2">
      <c r="A31" s="5">
        <v>42859.854737060188</v>
      </c>
      <c r="B31" s="6" t="s">
        <v>30</v>
      </c>
      <c r="C31" s="6" t="s">
        <v>178</v>
      </c>
      <c r="D31" s="6" t="s">
        <v>21</v>
      </c>
      <c r="E31" s="6" t="b">
        <v>1</v>
      </c>
      <c r="F31" s="6" t="s">
        <v>30</v>
      </c>
      <c r="G31" s="6" t="s">
        <v>17</v>
      </c>
      <c r="H31" s="6" t="s">
        <v>8</v>
      </c>
      <c r="I31" s="6">
        <v>20</v>
      </c>
      <c r="J31" s="6" t="s">
        <v>158</v>
      </c>
      <c r="K31" s="6" t="b">
        <v>1</v>
      </c>
    </row>
    <row r="32" spans="1:11" ht="12.75" x14ac:dyDescent="0.2">
      <c r="A32" s="5">
        <v>42862.776364212958</v>
      </c>
      <c r="B32" s="6" t="s">
        <v>48</v>
      </c>
      <c r="C32" s="6" t="s">
        <v>5</v>
      </c>
      <c r="D32" s="6" t="s">
        <v>10</v>
      </c>
      <c r="E32" s="6" t="b">
        <v>0</v>
      </c>
      <c r="F32" s="6" t="s">
        <v>48</v>
      </c>
      <c r="G32" s="6" t="s">
        <v>7</v>
      </c>
      <c r="H32" s="6" t="s">
        <v>8</v>
      </c>
      <c r="I32" s="6">
        <v>20</v>
      </c>
      <c r="J32" s="6" t="s">
        <v>158</v>
      </c>
      <c r="K32" s="6" t="b">
        <v>0</v>
      </c>
    </row>
    <row r="33" spans="1:11" ht="12.75" x14ac:dyDescent="0.2">
      <c r="A33" s="5">
        <v>42859.618636284722</v>
      </c>
      <c r="B33" s="6" t="s">
        <v>112</v>
      </c>
      <c r="C33" s="6" t="s">
        <v>176</v>
      </c>
      <c r="D33" s="6" t="s">
        <v>41</v>
      </c>
      <c r="E33" s="6" t="b">
        <v>1</v>
      </c>
      <c r="F33" s="6" t="s">
        <v>57</v>
      </c>
      <c r="G33" s="6" t="s">
        <v>132</v>
      </c>
      <c r="H33" s="6" t="s">
        <v>13</v>
      </c>
      <c r="I33" s="6">
        <v>20</v>
      </c>
      <c r="J33" s="6" t="s">
        <v>58</v>
      </c>
      <c r="K33" s="6" t="b">
        <v>1</v>
      </c>
    </row>
    <row r="34" spans="1:11" ht="12.75" x14ac:dyDescent="0.2">
      <c r="A34" s="5">
        <v>42863.499439398147</v>
      </c>
      <c r="B34" s="6" t="s">
        <v>30</v>
      </c>
      <c r="C34" s="6" t="s">
        <v>178</v>
      </c>
      <c r="D34" s="6" t="s">
        <v>10</v>
      </c>
      <c r="E34" s="6" t="b">
        <v>1</v>
      </c>
      <c r="F34" s="6" t="s">
        <v>30</v>
      </c>
      <c r="G34" s="6" t="s">
        <v>17</v>
      </c>
      <c r="H34" s="6" t="s">
        <v>8</v>
      </c>
      <c r="I34" s="6">
        <v>20</v>
      </c>
      <c r="J34" s="6" t="s">
        <v>58</v>
      </c>
      <c r="K34" s="6" t="b">
        <v>0</v>
      </c>
    </row>
    <row r="35" spans="1:11" ht="12.75" x14ac:dyDescent="0.2">
      <c r="A35" s="5">
        <v>42862.911324884262</v>
      </c>
      <c r="B35" s="6" t="s">
        <v>28</v>
      </c>
      <c r="C35" s="6" t="s">
        <v>178</v>
      </c>
      <c r="D35" s="6" t="s">
        <v>21</v>
      </c>
      <c r="E35" s="6" t="b">
        <v>1</v>
      </c>
      <c r="F35" s="6" t="s">
        <v>60</v>
      </c>
      <c r="G35" s="6" t="s">
        <v>80</v>
      </c>
      <c r="H35" s="6" t="s">
        <v>8</v>
      </c>
      <c r="I35" s="6">
        <v>20</v>
      </c>
      <c r="J35" s="6" t="s">
        <v>160</v>
      </c>
      <c r="K35" s="6" t="b">
        <v>0</v>
      </c>
    </row>
    <row r="36" spans="1:11" ht="12.75" x14ac:dyDescent="0.2">
      <c r="A36" s="5">
        <v>42863.560448263888</v>
      </c>
      <c r="B36" s="6" t="s">
        <v>9</v>
      </c>
      <c r="C36" s="6" t="s">
        <v>176</v>
      </c>
      <c r="D36" s="6" t="s">
        <v>41</v>
      </c>
      <c r="E36" s="6" t="b">
        <v>1</v>
      </c>
      <c r="F36" s="6" t="s">
        <v>9</v>
      </c>
      <c r="G36" s="6" t="s">
        <v>43</v>
      </c>
      <c r="H36" s="6" t="s">
        <v>13</v>
      </c>
      <c r="I36" s="6">
        <v>20</v>
      </c>
      <c r="J36" s="6" t="s">
        <v>149</v>
      </c>
      <c r="K36" s="6" t="b">
        <v>1</v>
      </c>
    </row>
    <row r="37" spans="1:11" ht="12.75" x14ac:dyDescent="0.2">
      <c r="A37" s="5">
        <v>42859.617908425927</v>
      </c>
      <c r="B37" s="6" t="s">
        <v>94</v>
      </c>
      <c r="C37" s="6" t="s">
        <v>176</v>
      </c>
      <c r="D37" s="6" t="s">
        <v>47</v>
      </c>
      <c r="E37" s="6" t="b">
        <v>1</v>
      </c>
      <c r="F37" s="6" t="s">
        <v>45</v>
      </c>
      <c r="G37" s="6" t="s">
        <v>7</v>
      </c>
      <c r="H37" s="6" t="s">
        <v>13</v>
      </c>
      <c r="I37" s="6">
        <v>20</v>
      </c>
      <c r="J37" s="6" t="s">
        <v>150</v>
      </c>
      <c r="K37" s="6" t="b">
        <v>0</v>
      </c>
    </row>
    <row r="38" spans="1:11" ht="12.75" x14ac:dyDescent="0.2">
      <c r="A38" s="5">
        <v>42859.949069641203</v>
      </c>
      <c r="B38" s="6" t="s">
        <v>26</v>
      </c>
      <c r="C38" s="6" t="s">
        <v>178</v>
      </c>
      <c r="D38" s="6" t="s">
        <v>21</v>
      </c>
      <c r="E38" s="6" t="b">
        <v>1</v>
      </c>
      <c r="F38" s="6" t="s">
        <v>26</v>
      </c>
      <c r="G38" s="6" t="s">
        <v>122</v>
      </c>
      <c r="H38" s="6" t="s">
        <v>13</v>
      </c>
      <c r="I38" s="6">
        <v>20</v>
      </c>
      <c r="J38" s="6" t="s">
        <v>151</v>
      </c>
      <c r="K38" s="6" t="b">
        <v>1</v>
      </c>
    </row>
    <row r="39" spans="1:11" ht="12.75" x14ac:dyDescent="0.2">
      <c r="A39" s="5">
        <v>42862.789023333331</v>
      </c>
      <c r="B39" s="6" t="s">
        <v>9</v>
      </c>
      <c r="C39" s="6" t="s">
        <v>174</v>
      </c>
      <c r="D39" s="6" t="s">
        <v>15</v>
      </c>
      <c r="E39" s="6" t="b">
        <v>1</v>
      </c>
      <c r="F39" s="6" t="s">
        <v>9</v>
      </c>
      <c r="G39" s="6" t="s">
        <v>122</v>
      </c>
      <c r="H39" s="6" t="s">
        <v>13</v>
      </c>
      <c r="I39" s="6">
        <v>20</v>
      </c>
      <c r="J39" s="6" t="s">
        <v>152</v>
      </c>
      <c r="K39" s="6" t="b">
        <v>0</v>
      </c>
    </row>
    <row r="40" spans="1:11" ht="12.75" x14ac:dyDescent="0.2">
      <c r="A40" s="5">
        <v>42857.768252453709</v>
      </c>
      <c r="B40" s="6" t="s">
        <v>4</v>
      </c>
      <c r="C40" s="6" t="s">
        <v>176</v>
      </c>
      <c r="D40" s="6" t="s">
        <v>21</v>
      </c>
      <c r="E40" s="6" t="b">
        <v>1</v>
      </c>
      <c r="F40" s="6" t="s">
        <v>19</v>
      </c>
      <c r="G40" s="6" t="s">
        <v>23</v>
      </c>
      <c r="H40" s="6" t="s">
        <v>8</v>
      </c>
      <c r="I40" s="6">
        <v>20</v>
      </c>
      <c r="J40" s="6" t="s">
        <v>141</v>
      </c>
      <c r="K40" s="6" t="b">
        <v>1</v>
      </c>
    </row>
    <row r="41" spans="1:11" ht="12.75" x14ac:dyDescent="0.2">
      <c r="A41" s="5">
        <v>42857.785392638893</v>
      </c>
      <c r="B41" s="6" t="s">
        <v>30</v>
      </c>
      <c r="C41" s="6" t="s">
        <v>178</v>
      </c>
      <c r="D41" s="6" t="s">
        <v>10</v>
      </c>
      <c r="E41" s="6" t="b">
        <v>1</v>
      </c>
      <c r="F41" s="6" t="s">
        <v>30</v>
      </c>
      <c r="G41" s="6" t="s">
        <v>31</v>
      </c>
      <c r="H41" s="6" t="s">
        <v>8</v>
      </c>
      <c r="I41" s="6">
        <v>20</v>
      </c>
      <c r="J41" s="6" t="s">
        <v>141</v>
      </c>
      <c r="K41" s="6" t="b">
        <v>0</v>
      </c>
    </row>
    <row r="42" spans="1:11" ht="12.75" x14ac:dyDescent="0.2">
      <c r="A42" s="5">
        <v>42857.815659282409</v>
      </c>
      <c r="B42" s="6" t="s">
        <v>30</v>
      </c>
      <c r="C42" s="6" t="s">
        <v>175</v>
      </c>
      <c r="D42" s="6" t="s">
        <v>10</v>
      </c>
      <c r="E42" s="6" t="b">
        <v>1</v>
      </c>
      <c r="F42" s="6" t="s">
        <v>30</v>
      </c>
      <c r="G42" s="6" t="s">
        <v>49</v>
      </c>
      <c r="H42" s="6" t="s">
        <v>8</v>
      </c>
      <c r="I42" s="6">
        <v>20</v>
      </c>
      <c r="J42" s="6" t="s">
        <v>141</v>
      </c>
      <c r="K42" s="6" t="b">
        <v>0</v>
      </c>
    </row>
    <row r="43" spans="1:11" ht="12.75" x14ac:dyDescent="0.2">
      <c r="A43" s="5">
        <v>42857.816325057865</v>
      </c>
      <c r="B43" s="6" t="s">
        <v>92</v>
      </c>
      <c r="C43" s="6" t="s">
        <v>176</v>
      </c>
      <c r="D43" s="6" t="s">
        <v>10</v>
      </c>
      <c r="E43" s="6" t="b">
        <v>1</v>
      </c>
      <c r="F43" s="6" t="s">
        <v>33</v>
      </c>
      <c r="G43" s="6" t="s">
        <v>120</v>
      </c>
      <c r="H43" s="6" t="s">
        <v>8</v>
      </c>
      <c r="I43" s="6">
        <v>20</v>
      </c>
      <c r="J43" s="6" t="s">
        <v>141</v>
      </c>
      <c r="K43" s="6" t="b">
        <v>0</v>
      </c>
    </row>
    <row r="44" spans="1:11" ht="12.75" x14ac:dyDescent="0.2">
      <c r="A44" s="5">
        <v>42857.819811249996</v>
      </c>
      <c r="B44" s="6" t="s">
        <v>30</v>
      </c>
      <c r="C44" s="6" t="s">
        <v>175</v>
      </c>
      <c r="D44" s="6" t="s">
        <v>10</v>
      </c>
      <c r="E44" s="6" t="b">
        <v>1</v>
      </c>
      <c r="F44" s="6" t="s">
        <v>30</v>
      </c>
      <c r="G44" s="6" t="s">
        <v>31</v>
      </c>
      <c r="H44" s="6" t="s">
        <v>8</v>
      </c>
      <c r="I44" s="6">
        <v>20</v>
      </c>
      <c r="J44" s="6" t="s">
        <v>141</v>
      </c>
      <c r="K44" s="6" t="b">
        <v>1</v>
      </c>
    </row>
    <row r="45" spans="1:11" ht="12.75" x14ac:dyDescent="0.2">
      <c r="A45" s="5">
        <v>42857.873702210651</v>
      </c>
      <c r="B45" s="6" t="s">
        <v>4</v>
      </c>
      <c r="C45" s="6" t="s">
        <v>5</v>
      </c>
      <c r="D45" s="6" t="s">
        <v>6</v>
      </c>
      <c r="E45" s="6" t="b">
        <v>0</v>
      </c>
      <c r="F45" s="6" t="s">
        <v>7</v>
      </c>
      <c r="G45" s="6" t="s">
        <v>7</v>
      </c>
      <c r="H45" s="6" t="s">
        <v>8</v>
      </c>
      <c r="I45" s="6">
        <v>20</v>
      </c>
      <c r="J45" s="6" t="s">
        <v>141</v>
      </c>
      <c r="K45" s="6" t="b">
        <v>0</v>
      </c>
    </row>
    <row r="46" spans="1:11" ht="12.75" x14ac:dyDescent="0.2">
      <c r="A46" s="5">
        <v>42858.427828715277</v>
      </c>
      <c r="B46" s="6" t="s">
        <v>4</v>
      </c>
      <c r="C46" s="6" t="s">
        <v>5</v>
      </c>
      <c r="D46" s="6" t="s">
        <v>6</v>
      </c>
      <c r="E46" s="6" t="b">
        <v>0</v>
      </c>
      <c r="F46" s="6" t="s">
        <v>7</v>
      </c>
      <c r="G46" s="6" t="s">
        <v>7</v>
      </c>
      <c r="H46" s="6" t="s">
        <v>8</v>
      </c>
      <c r="I46" s="6">
        <v>20</v>
      </c>
      <c r="J46" s="6" t="s">
        <v>141</v>
      </c>
      <c r="K46" s="6" t="b">
        <v>0</v>
      </c>
    </row>
    <row r="47" spans="1:11" ht="12.75" x14ac:dyDescent="0.2">
      <c r="A47" s="5">
        <v>42858.600638159725</v>
      </c>
      <c r="B47" s="6" t="s">
        <v>52</v>
      </c>
      <c r="C47" s="6" t="s">
        <v>176</v>
      </c>
      <c r="D47" s="6" t="s">
        <v>21</v>
      </c>
      <c r="E47" s="6" t="b">
        <v>1</v>
      </c>
      <c r="F47" s="6" t="s">
        <v>52</v>
      </c>
      <c r="G47" s="6" t="s">
        <v>128</v>
      </c>
      <c r="H47" s="6" t="s">
        <v>8</v>
      </c>
      <c r="I47" s="6">
        <v>20</v>
      </c>
      <c r="J47" s="6" t="s">
        <v>141</v>
      </c>
      <c r="K47" s="6" t="b">
        <v>0</v>
      </c>
    </row>
    <row r="48" spans="1:11" ht="12.75" x14ac:dyDescent="0.2">
      <c r="A48" s="5">
        <v>42858.603932175931</v>
      </c>
      <c r="B48" s="6" t="s">
        <v>53</v>
      </c>
      <c r="C48" s="6" t="s">
        <v>178</v>
      </c>
      <c r="D48" s="6" t="s">
        <v>15</v>
      </c>
      <c r="E48" s="6" t="b">
        <v>1</v>
      </c>
      <c r="F48" s="6" t="s">
        <v>53</v>
      </c>
      <c r="G48" s="6" t="s">
        <v>129</v>
      </c>
      <c r="H48" s="6" t="s">
        <v>8</v>
      </c>
      <c r="I48" s="6">
        <v>20</v>
      </c>
      <c r="J48" s="6" t="s">
        <v>141</v>
      </c>
      <c r="K48" s="6" t="b">
        <v>0</v>
      </c>
    </row>
    <row r="49" spans="1:11" ht="12.75" x14ac:dyDescent="0.2">
      <c r="A49" s="5">
        <v>42858.91348393519</v>
      </c>
      <c r="B49" s="6" t="s">
        <v>4</v>
      </c>
      <c r="C49" s="6" t="s">
        <v>179</v>
      </c>
      <c r="D49" s="6" t="s">
        <v>6</v>
      </c>
      <c r="E49" s="6" t="b">
        <v>0</v>
      </c>
      <c r="F49" s="6" t="s">
        <v>7</v>
      </c>
      <c r="G49" s="6" t="s">
        <v>7</v>
      </c>
      <c r="H49" s="6" t="s">
        <v>8</v>
      </c>
      <c r="I49" s="6">
        <v>20</v>
      </c>
      <c r="J49" s="6" t="s">
        <v>141</v>
      </c>
      <c r="K49" s="6" t="b">
        <v>0</v>
      </c>
    </row>
    <row r="50" spans="1:11" ht="12.75" x14ac:dyDescent="0.2">
      <c r="A50" s="5">
        <v>42858.961106585644</v>
      </c>
      <c r="B50" s="6" t="s">
        <v>4</v>
      </c>
      <c r="C50" s="6" t="s">
        <v>174</v>
      </c>
      <c r="D50" s="6" t="s">
        <v>25</v>
      </c>
      <c r="E50" s="6" t="b">
        <v>1</v>
      </c>
      <c r="F50" s="6" t="s">
        <v>7</v>
      </c>
      <c r="G50" s="6" t="s">
        <v>7</v>
      </c>
      <c r="H50" s="6" t="s">
        <v>8</v>
      </c>
      <c r="I50" s="6">
        <v>20</v>
      </c>
      <c r="J50" s="6" t="s">
        <v>141</v>
      </c>
      <c r="K50" s="6" t="b">
        <v>0</v>
      </c>
    </row>
    <row r="51" spans="1:11" ht="12.75" x14ac:dyDescent="0.2">
      <c r="A51" s="5">
        <v>42859.41366799768</v>
      </c>
      <c r="B51" s="6" t="s">
        <v>93</v>
      </c>
      <c r="C51" s="6" t="s">
        <v>178</v>
      </c>
      <c r="D51" s="6" t="s">
        <v>21</v>
      </c>
      <c r="E51" s="6" t="b">
        <v>1</v>
      </c>
      <c r="F51" s="6" t="s">
        <v>38</v>
      </c>
      <c r="G51" s="6" t="s">
        <v>17</v>
      </c>
      <c r="H51" s="6" t="s">
        <v>8</v>
      </c>
      <c r="I51" s="6">
        <v>20</v>
      </c>
      <c r="J51" s="6" t="s">
        <v>141</v>
      </c>
      <c r="K51" s="6" t="b">
        <v>0</v>
      </c>
    </row>
    <row r="52" spans="1:11" ht="12.75" x14ac:dyDescent="0.2">
      <c r="A52" s="5">
        <v>42860.661766956022</v>
      </c>
      <c r="B52" s="6" t="s">
        <v>103</v>
      </c>
      <c r="C52" s="6" t="s">
        <v>178</v>
      </c>
      <c r="D52" s="6" t="s">
        <v>15</v>
      </c>
      <c r="E52" s="6" t="b">
        <v>1</v>
      </c>
      <c r="F52" s="6" t="s">
        <v>55</v>
      </c>
      <c r="G52" s="6" t="s">
        <v>126</v>
      </c>
      <c r="H52" s="6" t="s">
        <v>8</v>
      </c>
      <c r="I52" s="6">
        <v>20</v>
      </c>
      <c r="J52" s="6" t="s">
        <v>141</v>
      </c>
      <c r="K52" s="6" t="b">
        <v>0</v>
      </c>
    </row>
    <row r="53" spans="1:11" ht="12.75" x14ac:dyDescent="0.2">
      <c r="A53" s="5">
        <v>42862.525466874999</v>
      </c>
      <c r="B53" s="6" t="s">
        <v>30</v>
      </c>
      <c r="C53" s="6" t="s">
        <v>176</v>
      </c>
      <c r="D53" s="6" t="s">
        <v>42</v>
      </c>
      <c r="E53" s="6" t="b">
        <v>1</v>
      </c>
      <c r="F53" s="6" t="s">
        <v>30</v>
      </c>
      <c r="G53" s="6" t="s">
        <v>49</v>
      </c>
      <c r="H53" s="6" t="s">
        <v>8</v>
      </c>
      <c r="I53" s="6">
        <v>20</v>
      </c>
      <c r="J53" s="6" t="s">
        <v>141</v>
      </c>
      <c r="K53" s="6" t="b">
        <v>0</v>
      </c>
    </row>
    <row r="54" spans="1:11" ht="12.75" x14ac:dyDescent="0.2">
      <c r="A54" s="5">
        <v>42858.60642019676</v>
      </c>
      <c r="B54" s="6" t="s">
        <v>33</v>
      </c>
      <c r="C54" s="6" t="s">
        <v>178</v>
      </c>
      <c r="D54" s="6" t="s">
        <v>10</v>
      </c>
      <c r="E54" s="6" t="b">
        <v>1</v>
      </c>
      <c r="F54" s="6" t="s">
        <v>33</v>
      </c>
      <c r="G54" s="6" t="s">
        <v>130</v>
      </c>
      <c r="H54" s="6" t="s">
        <v>8</v>
      </c>
      <c r="I54" s="6">
        <v>20</v>
      </c>
      <c r="J54" s="6" t="s">
        <v>141</v>
      </c>
      <c r="K54" s="6" t="b">
        <v>1</v>
      </c>
    </row>
    <row r="55" spans="1:11" ht="12.75" x14ac:dyDescent="0.2">
      <c r="A55" s="5">
        <v>42857.831290358794</v>
      </c>
      <c r="B55" s="6" t="s">
        <v>4</v>
      </c>
      <c r="C55" s="6" t="s">
        <v>5</v>
      </c>
      <c r="D55" s="6" t="s">
        <v>6</v>
      </c>
      <c r="E55" s="6" t="b">
        <v>0</v>
      </c>
      <c r="F55" s="6" t="s">
        <v>7</v>
      </c>
      <c r="G55" s="6" t="s">
        <v>7</v>
      </c>
      <c r="H55" s="6" t="s">
        <v>13</v>
      </c>
      <c r="I55" s="6">
        <v>20</v>
      </c>
      <c r="J55" s="6" t="s">
        <v>76</v>
      </c>
      <c r="K55" s="6" t="b">
        <v>0</v>
      </c>
    </row>
    <row r="56" spans="1:11" ht="12.75" x14ac:dyDescent="0.2">
      <c r="A56" s="5">
        <v>42859.603579965275</v>
      </c>
      <c r="B56" s="6" t="s">
        <v>9</v>
      </c>
      <c r="C56" s="6" t="s">
        <v>174</v>
      </c>
      <c r="D56" s="6" t="s">
        <v>10</v>
      </c>
      <c r="E56" s="6" t="b">
        <v>1</v>
      </c>
      <c r="F56" s="6" t="s">
        <v>9</v>
      </c>
      <c r="G56" s="6" t="s">
        <v>122</v>
      </c>
      <c r="H56" s="6" t="s">
        <v>8</v>
      </c>
      <c r="I56" s="6">
        <v>20</v>
      </c>
      <c r="J56" s="6" t="s">
        <v>76</v>
      </c>
      <c r="K56" s="6" t="b">
        <v>1</v>
      </c>
    </row>
    <row r="57" spans="1:11" ht="12.75" x14ac:dyDescent="0.2">
      <c r="A57" s="5">
        <v>42859.791782488421</v>
      </c>
      <c r="B57" s="6" t="s">
        <v>28</v>
      </c>
      <c r="C57" s="6" t="s">
        <v>5</v>
      </c>
      <c r="D57" s="6" t="s">
        <v>21</v>
      </c>
      <c r="E57" s="6" t="b">
        <v>1</v>
      </c>
      <c r="F57" s="6" t="s">
        <v>28</v>
      </c>
      <c r="G57" s="6" t="s">
        <v>29</v>
      </c>
      <c r="H57" s="6" t="s">
        <v>8</v>
      </c>
      <c r="I57" s="6">
        <v>20</v>
      </c>
      <c r="J57" s="6" t="s">
        <v>76</v>
      </c>
      <c r="K57" s="6" t="b">
        <v>0</v>
      </c>
    </row>
    <row r="58" spans="1:11" ht="12.75" x14ac:dyDescent="0.2">
      <c r="A58" s="5">
        <v>42860.040030787037</v>
      </c>
      <c r="B58" s="6" t="s">
        <v>4</v>
      </c>
      <c r="C58" s="6" t="s">
        <v>174</v>
      </c>
      <c r="D58" s="6" t="s">
        <v>6</v>
      </c>
      <c r="E58" s="6" t="b">
        <v>0</v>
      </c>
      <c r="F58" s="6" t="s">
        <v>9</v>
      </c>
      <c r="G58" s="6" t="s">
        <v>43</v>
      </c>
      <c r="H58" s="6" t="s">
        <v>8</v>
      </c>
      <c r="I58" s="6">
        <v>20</v>
      </c>
      <c r="J58" s="6" t="s">
        <v>76</v>
      </c>
      <c r="K58" s="6" t="b">
        <v>0</v>
      </c>
    </row>
    <row r="59" spans="1:11" ht="12.75" x14ac:dyDescent="0.2">
      <c r="A59" s="5">
        <v>42862.774198854167</v>
      </c>
      <c r="B59" s="6" t="s">
        <v>35</v>
      </c>
      <c r="C59" s="6" t="s">
        <v>176</v>
      </c>
      <c r="D59" s="6" t="s">
        <v>10</v>
      </c>
      <c r="E59" s="6" t="b">
        <v>1</v>
      </c>
      <c r="F59" s="6" t="s">
        <v>35</v>
      </c>
      <c r="G59" s="6" t="s">
        <v>29</v>
      </c>
      <c r="H59" s="6" t="s">
        <v>8</v>
      </c>
      <c r="I59" s="6">
        <v>20</v>
      </c>
      <c r="J59" s="6" t="s">
        <v>76</v>
      </c>
      <c r="K59" s="6" t="b">
        <v>1</v>
      </c>
    </row>
    <row r="60" spans="1:11" ht="12.75" x14ac:dyDescent="0.2">
      <c r="A60" s="5">
        <v>42862.895588935186</v>
      </c>
      <c r="B60" s="6" t="s">
        <v>30</v>
      </c>
      <c r="C60" s="6" t="s">
        <v>175</v>
      </c>
      <c r="D60" s="6" t="s">
        <v>21</v>
      </c>
      <c r="E60" s="6" t="b">
        <v>1</v>
      </c>
      <c r="F60" s="6" t="s">
        <v>60</v>
      </c>
      <c r="G60" s="6" t="s">
        <v>17</v>
      </c>
      <c r="H60" s="6" t="s">
        <v>8</v>
      </c>
      <c r="I60" s="6">
        <v>20</v>
      </c>
      <c r="J60" s="6" t="s">
        <v>76</v>
      </c>
      <c r="K60" s="6" t="b">
        <v>0</v>
      </c>
    </row>
    <row r="61" spans="1:11" ht="12.75" x14ac:dyDescent="0.2">
      <c r="A61" s="5">
        <v>42862.979314722223</v>
      </c>
      <c r="B61" s="6" t="s">
        <v>4</v>
      </c>
      <c r="C61" s="6" t="s">
        <v>176</v>
      </c>
      <c r="D61" s="6" t="s">
        <v>47</v>
      </c>
      <c r="E61" s="6" t="b">
        <v>0</v>
      </c>
      <c r="F61" s="6" t="s">
        <v>7</v>
      </c>
      <c r="G61" s="6" t="s">
        <v>7</v>
      </c>
      <c r="H61" s="6" t="s">
        <v>13</v>
      </c>
      <c r="I61" s="6">
        <v>20</v>
      </c>
      <c r="J61" s="6" t="s">
        <v>76</v>
      </c>
      <c r="K61" s="6" t="b">
        <v>0</v>
      </c>
    </row>
    <row r="62" spans="1:11" ht="12.75" x14ac:dyDescent="0.2">
      <c r="A62" s="5">
        <v>42860.738926076388</v>
      </c>
      <c r="B62" s="6" t="s">
        <v>4</v>
      </c>
      <c r="C62" s="6" t="s">
        <v>5</v>
      </c>
      <c r="D62" s="6" t="s">
        <v>6</v>
      </c>
      <c r="E62" s="6" t="b">
        <v>0</v>
      </c>
      <c r="F62" s="6" t="s">
        <v>7</v>
      </c>
      <c r="G62" s="6" t="s">
        <v>7</v>
      </c>
      <c r="H62" s="6" t="s">
        <v>13</v>
      </c>
      <c r="I62" s="6">
        <v>20</v>
      </c>
      <c r="J62" s="6" t="s">
        <v>69</v>
      </c>
      <c r="K62" s="6" t="b">
        <v>0</v>
      </c>
    </row>
    <row r="63" spans="1:11" ht="12.75" x14ac:dyDescent="0.2">
      <c r="A63" s="5">
        <v>42862.020633113425</v>
      </c>
      <c r="B63" s="6" t="s">
        <v>30</v>
      </c>
      <c r="C63" s="6" t="s">
        <v>174</v>
      </c>
      <c r="D63" s="6" t="s">
        <v>10</v>
      </c>
      <c r="E63" s="6" t="b">
        <v>1</v>
      </c>
      <c r="F63" s="6" t="s">
        <v>30</v>
      </c>
      <c r="G63" s="6" t="s">
        <v>49</v>
      </c>
      <c r="H63" s="6" t="s">
        <v>8</v>
      </c>
      <c r="I63" s="6">
        <v>20</v>
      </c>
      <c r="J63" s="6" t="s">
        <v>69</v>
      </c>
      <c r="K63" s="6" t="b">
        <v>1</v>
      </c>
    </row>
    <row r="64" spans="1:11" ht="12.75" x14ac:dyDescent="0.2">
      <c r="A64" s="5">
        <v>42863.850707349542</v>
      </c>
      <c r="B64" s="6" t="s">
        <v>4</v>
      </c>
      <c r="C64" s="6" t="s">
        <v>5</v>
      </c>
      <c r="D64" s="6" t="s">
        <v>6</v>
      </c>
      <c r="E64" s="6" t="b">
        <v>1</v>
      </c>
      <c r="F64" s="6" t="s">
        <v>7</v>
      </c>
      <c r="G64" s="6" t="s">
        <v>7</v>
      </c>
      <c r="H64" s="6" t="s">
        <v>8</v>
      </c>
      <c r="I64" s="6">
        <v>20</v>
      </c>
      <c r="J64" s="6" t="s">
        <v>69</v>
      </c>
      <c r="K64" s="6" t="b">
        <v>0</v>
      </c>
    </row>
    <row r="65" spans="1:11" ht="12.75" x14ac:dyDescent="0.2">
      <c r="A65" s="5">
        <v>42862.766852083332</v>
      </c>
      <c r="B65" s="6" t="s">
        <v>107</v>
      </c>
      <c r="C65" s="6" t="s">
        <v>176</v>
      </c>
      <c r="D65" s="6" t="s">
        <v>25</v>
      </c>
      <c r="E65" s="6" t="b">
        <v>0</v>
      </c>
      <c r="F65" s="6" t="s">
        <v>7</v>
      </c>
      <c r="G65" s="6" t="s">
        <v>7</v>
      </c>
      <c r="H65" s="6" t="s">
        <v>8</v>
      </c>
      <c r="I65" s="6">
        <v>20</v>
      </c>
      <c r="J65" s="6" t="s">
        <v>79</v>
      </c>
      <c r="K65" s="6" t="b">
        <v>0</v>
      </c>
    </row>
    <row r="66" spans="1:11" ht="12.75" x14ac:dyDescent="0.2">
      <c r="A66" s="5">
        <v>42859.673824386569</v>
      </c>
      <c r="B66" s="6" t="s">
        <v>59</v>
      </c>
      <c r="C66" s="6" t="s">
        <v>176</v>
      </c>
      <c r="D66" s="6" t="s">
        <v>10</v>
      </c>
      <c r="E66" s="6" t="b">
        <v>0</v>
      </c>
      <c r="F66" s="6" t="s">
        <v>59</v>
      </c>
      <c r="G66" s="6" t="s">
        <v>7</v>
      </c>
      <c r="H66" s="6" t="s">
        <v>13</v>
      </c>
      <c r="I66" s="6">
        <v>20</v>
      </c>
      <c r="J66" s="6" t="s">
        <v>160</v>
      </c>
      <c r="K66" s="6" t="b">
        <v>1</v>
      </c>
    </row>
    <row r="67" spans="1:11" ht="12.75" x14ac:dyDescent="0.2">
      <c r="A67" s="5">
        <v>42860.314947164356</v>
      </c>
      <c r="B67" s="6" t="s">
        <v>9</v>
      </c>
      <c r="C67" s="6" t="s">
        <v>178</v>
      </c>
      <c r="D67" s="6" t="s">
        <v>21</v>
      </c>
      <c r="E67" s="6" t="b">
        <v>1</v>
      </c>
      <c r="F67" s="6" t="s">
        <v>9</v>
      </c>
      <c r="G67" s="6" t="s">
        <v>43</v>
      </c>
      <c r="H67" s="6" t="s">
        <v>8</v>
      </c>
      <c r="I67" s="6">
        <v>20</v>
      </c>
      <c r="J67" s="6" t="s">
        <v>154</v>
      </c>
      <c r="K67" s="6" t="b">
        <v>1</v>
      </c>
    </row>
    <row r="68" spans="1:11" ht="12.75" x14ac:dyDescent="0.2">
      <c r="A68" s="5">
        <v>42862.764788969907</v>
      </c>
      <c r="B68" s="6" t="s">
        <v>45</v>
      </c>
      <c r="C68" s="6" t="s">
        <v>176</v>
      </c>
      <c r="D68" s="6" t="s">
        <v>41</v>
      </c>
      <c r="E68" s="6" t="b">
        <v>1</v>
      </c>
      <c r="F68" s="6" t="s">
        <v>45</v>
      </c>
      <c r="G68" s="6" t="s">
        <v>7</v>
      </c>
      <c r="H68" s="6" t="s">
        <v>8</v>
      </c>
      <c r="I68" s="6">
        <v>20</v>
      </c>
      <c r="J68" s="6" t="s">
        <v>144</v>
      </c>
      <c r="K68" s="6" t="b">
        <v>0</v>
      </c>
    </row>
    <row r="69" spans="1:11" ht="12.75" x14ac:dyDescent="0.2">
      <c r="A69" s="5">
        <v>42860.542879849541</v>
      </c>
      <c r="B69" s="6" t="s">
        <v>4</v>
      </c>
      <c r="C69" s="6" t="s">
        <v>5</v>
      </c>
      <c r="D69" s="6" t="s">
        <v>6</v>
      </c>
      <c r="E69" s="6" t="b">
        <v>0</v>
      </c>
      <c r="F69" s="6" t="s">
        <v>7</v>
      </c>
      <c r="G69" s="6" t="s">
        <v>7</v>
      </c>
      <c r="H69" s="6" t="s">
        <v>8</v>
      </c>
      <c r="I69" s="6">
        <v>20</v>
      </c>
      <c r="J69" s="6" t="s">
        <v>146</v>
      </c>
      <c r="K69" s="6" t="b">
        <v>0</v>
      </c>
    </row>
    <row r="70" spans="1:11" ht="12.75" x14ac:dyDescent="0.2">
      <c r="A70" s="5">
        <v>42862.758697858793</v>
      </c>
      <c r="B70" s="6" t="s">
        <v>30</v>
      </c>
      <c r="C70" s="6" t="s">
        <v>178</v>
      </c>
      <c r="D70" s="6" t="s">
        <v>6</v>
      </c>
      <c r="E70" s="6" t="b">
        <v>0</v>
      </c>
      <c r="F70" s="6" t="s">
        <v>30</v>
      </c>
      <c r="G70" s="6" t="s">
        <v>17</v>
      </c>
      <c r="H70" s="6" t="s">
        <v>8</v>
      </c>
      <c r="I70" s="6">
        <v>20</v>
      </c>
      <c r="J70" s="6" t="s">
        <v>146</v>
      </c>
      <c r="K70" s="6" t="b">
        <v>0</v>
      </c>
    </row>
    <row r="71" spans="1:11" ht="12.75" x14ac:dyDescent="0.2">
      <c r="A71" s="5">
        <v>42859.378610879634</v>
      </c>
      <c r="B71" s="6" t="s">
        <v>4</v>
      </c>
      <c r="C71" s="6" t="s">
        <v>5</v>
      </c>
      <c r="D71" s="6" t="s">
        <v>6</v>
      </c>
      <c r="E71" s="6" t="b">
        <v>0</v>
      </c>
      <c r="F71" s="6" t="s">
        <v>7</v>
      </c>
      <c r="G71" s="6" t="s">
        <v>7</v>
      </c>
      <c r="H71" s="6" t="s">
        <v>13</v>
      </c>
      <c r="I71" s="6">
        <v>20</v>
      </c>
      <c r="J71" s="6" t="s">
        <v>56</v>
      </c>
      <c r="K71" s="6" t="b">
        <v>0</v>
      </c>
    </row>
    <row r="72" spans="1:11" ht="12.75" x14ac:dyDescent="0.2">
      <c r="A72" s="5">
        <v>42859.593560740745</v>
      </c>
      <c r="B72" s="6" t="s">
        <v>4</v>
      </c>
      <c r="C72" s="6" t="s">
        <v>5</v>
      </c>
      <c r="D72" s="6" t="s">
        <v>10</v>
      </c>
      <c r="E72" s="6" t="b">
        <v>1</v>
      </c>
      <c r="F72" s="6" t="s">
        <v>7</v>
      </c>
      <c r="G72" s="6" t="s">
        <v>7</v>
      </c>
      <c r="H72" s="6" t="s">
        <v>13</v>
      </c>
      <c r="I72" s="6">
        <v>20</v>
      </c>
      <c r="J72" s="6" t="s">
        <v>56</v>
      </c>
      <c r="K72" s="6" t="b">
        <v>0</v>
      </c>
    </row>
    <row r="73" spans="1:11" ht="12.75" x14ac:dyDescent="0.2">
      <c r="A73" s="5">
        <v>42860.109114502317</v>
      </c>
      <c r="B73" s="6" t="s">
        <v>60</v>
      </c>
      <c r="C73" s="6" t="s">
        <v>178</v>
      </c>
      <c r="D73" s="6" t="s">
        <v>21</v>
      </c>
      <c r="E73" s="6" t="b">
        <v>1</v>
      </c>
      <c r="F73" s="6" t="s">
        <v>60</v>
      </c>
      <c r="G73" s="6" t="s">
        <v>64</v>
      </c>
      <c r="H73" s="6" t="s">
        <v>8</v>
      </c>
      <c r="I73" s="6">
        <v>20</v>
      </c>
      <c r="J73" s="6" t="s">
        <v>56</v>
      </c>
      <c r="K73" s="6" t="b">
        <v>1</v>
      </c>
    </row>
    <row r="74" spans="1:11" ht="12.75" x14ac:dyDescent="0.2">
      <c r="A74" s="5">
        <v>42860.305541574075</v>
      </c>
      <c r="B74" s="6" t="s">
        <v>4</v>
      </c>
      <c r="C74" s="6" t="s">
        <v>12</v>
      </c>
      <c r="D74" s="6" t="s">
        <v>6</v>
      </c>
      <c r="E74" s="6" t="b">
        <v>0</v>
      </c>
      <c r="F74" s="6" t="s">
        <v>7</v>
      </c>
      <c r="G74" s="6" t="s">
        <v>7</v>
      </c>
      <c r="H74" s="6" t="s">
        <v>13</v>
      </c>
      <c r="I74" s="6">
        <v>20</v>
      </c>
      <c r="J74" s="6" t="s">
        <v>56</v>
      </c>
      <c r="K74" s="6" t="b">
        <v>0</v>
      </c>
    </row>
    <row r="75" spans="1:11" ht="12.75" x14ac:dyDescent="0.2">
      <c r="A75" s="5">
        <v>42860.567644351853</v>
      </c>
      <c r="B75" s="6" t="s">
        <v>67</v>
      </c>
      <c r="C75" s="6" t="s">
        <v>174</v>
      </c>
      <c r="D75" s="6" t="s">
        <v>21</v>
      </c>
      <c r="E75" s="6" t="b">
        <v>1</v>
      </c>
      <c r="F75" s="6" t="s">
        <v>46</v>
      </c>
      <c r="G75" s="6" t="s">
        <v>7</v>
      </c>
      <c r="H75" s="6" t="s">
        <v>8</v>
      </c>
      <c r="I75" s="6">
        <v>20</v>
      </c>
      <c r="J75" s="6" t="s">
        <v>56</v>
      </c>
      <c r="K75" s="6" t="b">
        <v>1</v>
      </c>
    </row>
    <row r="76" spans="1:11" ht="12.75" x14ac:dyDescent="0.2">
      <c r="A76" s="5">
        <v>42857.754217407404</v>
      </c>
      <c r="B76" s="6" t="s">
        <v>18</v>
      </c>
      <c r="C76" s="6" t="s">
        <v>174</v>
      </c>
      <c r="D76" s="6" t="s">
        <v>10</v>
      </c>
      <c r="E76" s="6" t="b">
        <v>1</v>
      </c>
      <c r="F76" s="6" t="s">
        <v>19</v>
      </c>
      <c r="G76" s="6" t="s">
        <v>20</v>
      </c>
      <c r="H76" s="6" t="s">
        <v>8</v>
      </c>
      <c r="I76" s="6">
        <v>20</v>
      </c>
      <c r="J76" s="6" t="s">
        <v>27</v>
      </c>
      <c r="K76" s="6" t="b">
        <v>0</v>
      </c>
    </row>
    <row r="77" spans="1:11" ht="12.75" x14ac:dyDescent="0.2">
      <c r="A77" s="5">
        <v>42857.779187106484</v>
      </c>
      <c r="B77" s="6" t="s">
        <v>4</v>
      </c>
      <c r="C77" s="6" t="s">
        <v>176</v>
      </c>
      <c r="D77" s="6" t="s">
        <v>10</v>
      </c>
      <c r="E77" s="6" t="b">
        <v>1</v>
      </c>
      <c r="F77" s="6" t="s">
        <v>48</v>
      </c>
      <c r="G77" s="6" t="s">
        <v>20</v>
      </c>
      <c r="H77" s="6" t="s">
        <v>8</v>
      </c>
      <c r="I77" s="6">
        <v>20</v>
      </c>
      <c r="J77" s="6" t="s">
        <v>27</v>
      </c>
      <c r="K77" s="6" t="b">
        <v>1</v>
      </c>
    </row>
    <row r="78" spans="1:11" ht="12.75" x14ac:dyDescent="0.2">
      <c r="A78" s="5">
        <v>42857.799522060188</v>
      </c>
      <c r="B78" s="6" t="s">
        <v>19</v>
      </c>
      <c r="C78" s="6" t="s">
        <v>175</v>
      </c>
      <c r="D78" s="6" t="s">
        <v>10</v>
      </c>
      <c r="E78" s="6" t="b">
        <v>1</v>
      </c>
      <c r="F78" s="6" t="s">
        <v>19</v>
      </c>
      <c r="G78" s="6" t="s">
        <v>23</v>
      </c>
      <c r="H78" s="6" t="s">
        <v>8</v>
      </c>
      <c r="I78" s="6">
        <v>20</v>
      </c>
      <c r="J78" s="6" t="s">
        <v>27</v>
      </c>
      <c r="K78" s="6" t="b">
        <v>0</v>
      </c>
    </row>
    <row r="79" spans="1:11" ht="12.75" x14ac:dyDescent="0.2">
      <c r="A79" s="5">
        <v>42857.847863599542</v>
      </c>
      <c r="B79" s="6" t="s">
        <v>39</v>
      </c>
      <c r="C79" s="6" t="s">
        <v>176</v>
      </c>
      <c r="D79" s="6" t="s">
        <v>25</v>
      </c>
      <c r="E79" s="6" t="b">
        <v>0</v>
      </c>
      <c r="F79" s="6" t="s">
        <v>19</v>
      </c>
      <c r="G79" s="6" t="s">
        <v>40</v>
      </c>
      <c r="H79" s="6" t="s">
        <v>13</v>
      </c>
      <c r="I79" s="6">
        <v>20</v>
      </c>
      <c r="J79" s="6" t="s">
        <v>27</v>
      </c>
      <c r="K79" s="6" t="b">
        <v>1</v>
      </c>
    </row>
    <row r="80" spans="1:11" ht="12.75" x14ac:dyDescent="0.2">
      <c r="A80" s="5">
        <v>42857.850689120372</v>
      </c>
      <c r="B80" s="6" t="s">
        <v>26</v>
      </c>
      <c r="C80" s="6" t="s">
        <v>178</v>
      </c>
      <c r="D80" s="6" t="s">
        <v>41</v>
      </c>
      <c r="E80" s="6" t="b">
        <v>1</v>
      </c>
      <c r="F80" s="6" t="s">
        <v>26</v>
      </c>
      <c r="G80" s="6" t="s">
        <v>7</v>
      </c>
      <c r="H80" s="6" t="s">
        <v>8</v>
      </c>
      <c r="I80" s="6">
        <v>20</v>
      </c>
      <c r="J80" s="6" t="s">
        <v>27</v>
      </c>
      <c r="K80" s="6" t="b">
        <v>1</v>
      </c>
    </row>
    <row r="81" spans="1:11" ht="12.75" x14ac:dyDescent="0.2">
      <c r="A81" s="5">
        <v>42857.873180289353</v>
      </c>
      <c r="B81" s="6" t="s">
        <v>26</v>
      </c>
      <c r="C81" s="6" t="s">
        <v>174</v>
      </c>
      <c r="D81" s="6" t="s">
        <v>10</v>
      </c>
      <c r="E81" s="6" t="b">
        <v>1</v>
      </c>
      <c r="F81" s="6" t="s">
        <v>32</v>
      </c>
      <c r="G81" s="6" t="s">
        <v>43</v>
      </c>
      <c r="H81" s="6" t="s">
        <v>8</v>
      </c>
      <c r="I81" s="6">
        <v>20</v>
      </c>
      <c r="J81" s="6" t="s">
        <v>27</v>
      </c>
      <c r="K81" s="6" t="b">
        <v>1</v>
      </c>
    </row>
    <row r="82" spans="1:11" ht="12.75" x14ac:dyDescent="0.2">
      <c r="A82" s="5">
        <v>42857.912985949079</v>
      </c>
      <c r="B82" s="6" t="s">
        <v>97</v>
      </c>
      <c r="C82" s="6" t="s">
        <v>176</v>
      </c>
      <c r="D82" s="6" t="s">
        <v>10</v>
      </c>
      <c r="E82" s="6" t="b">
        <v>1</v>
      </c>
      <c r="F82" s="6" t="s">
        <v>97</v>
      </c>
      <c r="G82" s="6" t="s">
        <v>43</v>
      </c>
      <c r="H82" s="6" t="s">
        <v>8</v>
      </c>
      <c r="I82" s="6">
        <v>20</v>
      </c>
      <c r="J82" s="6" t="s">
        <v>27</v>
      </c>
      <c r="K82" s="6" t="b">
        <v>0</v>
      </c>
    </row>
    <row r="83" spans="1:11" ht="12.75" x14ac:dyDescent="0.2">
      <c r="A83" s="5">
        <v>42857.920091168984</v>
      </c>
      <c r="B83" s="6" t="s">
        <v>4</v>
      </c>
      <c r="C83" s="6" t="s">
        <v>176</v>
      </c>
      <c r="D83" s="6" t="s">
        <v>10</v>
      </c>
      <c r="E83" s="6" t="b">
        <v>1</v>
      </c>
      <c r="F83" s="6" t="s">
        <v>19</v>
      </c>
      <c r="G83" s="6" t="s">
        <v>23</v>
      </c>
      <c r="H83" s="6" t="s">
        <v>8</v>
      </c>
      <c r="I83" s="6">
        <v>20</v>
      </c>
      <c r="J83" s="6" t="s">
        <v>27</v>
      </c>
      <c r="K83" s="6" t="b">
        <v>0</v>
      </c>
    </row>
    <row r="84" spans="1:11" ht="12.75" x14ac:dyDescent="0.2">
      <c r="A84" s="5">
        <v>42857.921615451385</v>
      </c>
      <c r="B84" s="6" t="s">
        <v>45</v>
      </c>
      <c r="C84" s="6" t="s">
        <v>176</v>
      </c>
      <c r="D84" s="6" t="s">
        <v>41</v>
      </c>
      <c r="E84" s="6" t="b">
        <v>1</v>
      </c>
      <c r="F84" s="6" t="s">
        <v>46</v>
      </c>
      <c r="G84" s="6" t="s">
        <v>7</v>
      </c>
      <c r="H84" s="6" t="s">
        <v>8</v>
      </c>
      <c r="I84" s="6">
        <v>20</v>
      </c>
      <c r="J84" s="6" t="s">
        <v>27</v>
      </c>
      <c r="K84" s="6" t="b">
        <v>0</v>
      </c>
    </row>
    <row r="85" spans="1:11" ht="12.75" x14ac:dyDescent="0.2">
      <c r="A85" s="5">
        <v>42857.95027721065</v>
      </c>
      <c r="B85" s="6" t="s">
        <v>19</v>
      </c>
      <c r="C85" s="6" t="s">
        <v>178</v>
      </c>
      <c r="D85" s="6" t="s">
        <v>21</v>
      </c>
      <c r="E85" s="6" t="b">
        <v>1</v>
      </c>
      <c r="F85" s="6" t="s">
        <v>9</v>
      </c>
      <c r="G85" s="6" t="s">
        <v>43</v>
      </c>
      <c r="H85" s="6" t="s">
        <v>8</v>
      </c>
      <c r="I85" s="6">
        <v>20</v>
      </c>
      <c r="J85" s="6" t="s">
        <v>27</v>
      </c>
      <c r="K85" s="6" t="b">
        <v>1</v>
      </c>
    </row>
    <row r="86" spans="1:11" ht="12.75" x14ac:dyDescent="0.2">
      <c r="A86" s="5">
        <v>42857.975183946764</v>
      </c>
      <c r="B86" s="6" t="s">
        <v>4</v>
      </c>
      <c r="C86" s="6" t="s">
        <v>176</v>
      </c>
      <c r="D86" s="6" t="s">
        <v>6</v>
      </c>
      <c r="E86" s="6" t="b">
        <v>0</v>
      </c>
      <c r="F86" s="6" t="s">
        <v>7</v>
      </c>
      <c r="G86" s="6" t="s">
        <v>7</v>
      </c>
      <c r="H86" s="6" t="s">
        <v>13</v>
      </c>
      <c r="I86" s="6">
        <v>20</v>
      </c>
      <c r="J86" s="6" t="s">
        <v>27</v>
      </c>
      <c r="K86" s="6" t="b">
        <v>0</v>
      </c>
    </row>
    <row r="87" spans="1:11" ht="12.75" x14ac:dyDescent="0.2">
      <c r="A87" s="5">
        <v>42858.254134571762</v>
      </c>
      <c r="B87" s="6" t="s">
        <v>30</v>
      </c>
      <c r="C87" s="6" t="s">
        <v>175</v>
      </c>
      <c r="D87" s="6" t="s">
        <v>10</v>
      </c>
      <c r="E87" s="6" t="b">
        <v>1</v>
      </c>
      <c r="F87" s="6" t="s">
        <v>30</v>
      </c>
      <c r="G87" s="6" t="s">
        <v>49</v>
      </c>
      <c r="H87" s="6" t="s">
        <v>8</v>
      </c>
      <c r="I87" s="6">
        <v>20</v>
      </c>
      <c r="J87" s="6" t="s">
        <v>27</v>
      </c>
      <c r="K87" s="6" t="b">
        <v>1</v>
      </c>
    </row>
    <row r="88" spans="1:11" ht="12.75" x14ac:dyDescent="0.2">
      <c r="A88" s="5">
        <v>42858.931450347227</v>
      </c>
      <c r="B88" s="6" t="s">
        <v>48</v>
      </c>
      <c r="C88" s="6" t="s">
        <v>176</v>
      </c>
      <c r="D88" s="6" t="s">
        <v>10</v>
      </c>
      <c r="E88" s="6" t="b">
        <v>1</v>
      </c>
      <c r="F88" s="6" t="s">
        <v>48</v>
      </c>
      <c r="G88" s="6" t="s">
        <v>7</v>
      </c>
      <c r="H88" s="6" t="s">
        <v>8</v>
      </c>
      <c r="I88" s="6">
        <v>20</v>
      </c>
      <c r="J88" s="6" t="s">
        <v>27</v>
      </c>
      <c r="K88" s="6" t="b">
        <v>0</v>
      </c>
    </row>
    <row r="89" spans="1:11" ht="12.75" x14ac:dyDescent="0.2">
      <c r="A89" s="5">
        <v>42859.32530246528</v>
      </c>
      <c r="B89" s="6" t="s">
        <v>4</v>
      </c>
      <c r="C89" s="6" t="s">
        <v>12</v>
      </c>
      <c r="D89" s="6" t="s">
        <v>6</v>
      </c>
      <c r="E89" s="6" t="b">
        <v>0</v>
      </c>
      <c r="F89" s="6" t="s">
        <v>7</v>
      </c>
      <c r="G89" s="6" t="s">
        <v>7</v>
      </c>
      <c r="H89" s="6" t="s">
        <v>8</v>
      </c>
      <c r="I89" s="6">
        <v>20</v>
      </c>
      <c r="J89" s="6" t="s">
        <v>27</v>
      </c>
      <c r="K89" s="6" t="b">
        <v>0</v>
      </c>
    </row>
    <row r="90" spans="1:11" ht="12.75" x14ac:dyDescent="0.2">
      <c r="A90" s="5">
        <v>42859.632057395836</v>
      </c>
      <c r="B90" s="6" t="s">
        <v>4</v>
      </c>
      <c r="C90" s="6" t="s">
        <v>5</v>
      </c>
      <c r="D90" s="6" t="s">
        <v>6</v>
      </c>
      <c r="E90" s="6" t="b">
        <v>1</v>
      </c>
      <c r="F90" s="6" t="s">
        <v>7</v>
      </c>
      <c r="G90" s="6" t="s">
        <v>7</v>
      </c>
      <c r="H90" s="6" t="s">
        <v>8</v>
      </c>
      <c r="I90" s="6">
        <v>20</v>
      </c>
      <c r="J90" s="6" t="s">
        <v>27</v>
      </c>
      <c r="K90" s="6" t="b">
        <v>0</v>
      </c>
    </row>
    <row r="91" spans="1:11" ht="12.75" x14ac:dyDescent="0.2">
      <c r="A91" s="5">
        <v>42861.792990775459</v>
      </c>
      <c r="B91" s="6" t="s">
        <v>9</v>
      </c>
      <c r="C91" s="6" t="s">
        <v>178</v>
      </c>
      <c r="D91" s="6" t="s">
        <v>10</v>
      </c>
      <c r="E91" s="6" t="b">
        <v>1</v>
      </c>
      <c r="F91" s="6" t="s">
        <v>9</v>
      </c>
      <c r="G91" s="6" t="s">
        <v>125</v>
      </c>
      <c r="H91" s="6" t="s">
        <v>8</v>
      </c>
      <c r="I91" s="6">
        <v>20</v>
      </c>
      <c r="J91" s="6" t="s">
        <v>27</v>
      </c>
      <c r="K91" s="6" t="b">
        <v>0</v>
      </c>
    </row>
    <row r="92" spans="1:11" ht="12.75" x14ac:dyDescent="0.2">
      <c r="A92" s="5">
        <v>42863.848193993057</v>
      </c>
      <c r="B92" s="6" t="s">
        <v>9</v>
      </c>
      <c r="C92" s="6" t="s">
        <v>176</v>
      </c>
      <c r="D92" s="6" t="s">
        <v>10</v>
      </c>
      <c r="E92" s="6" t="b">
        <v>0</v>
      </c>
      <c r="F92" s="6" t="s">
        <v>7</v>
      </c>
      <c r="G92" s="6" t="s">
        <v>7</v>
      </c>
      <c r="H92" s="6" t="s">
        <v>8</v>
      </c>
      <c r="I92" s="6">
        <v>20</v>
      </c>
      <c r="J92" s="6" t="s">
        <v>27</v>
      </c>
      <c r="K92" s="6" t="b">
        <v>1</v>
      </c>
    </row>
    <row r="93" spans="1:11" ht="12.75" x14ac:dyDescent="0.2">
      <c r="A93" s="5">
        <v>42863.854794375002</v>
      </c>
      <c r="B93" s="6" t="s">
        <v>163</v>
      </c>
      <c r="C93" s="6" t="s">
        <v>176</v>
      </c>
      <c r="D93" s="6" t="s">
        <v>10</v>
      </c>
      <c r="E93" s="6" t="b">
        <v>1</v>
      </c>
      <c r="F93" s="6" t="s">
        <v>119</v>
      </c>
      <c r="G93" s="6" t="s">
        <v>17</v>
      </c>
      <c r="H93" s="6" t="s">
        <v>8</v>
      </c>
      <c r="I93" s="6">
        <v>20</v>
      </c>
      <c r="J93" s="6" t="s">
        <v>27</v>
      </c>
      <c r="K93" s="6" t="b">
        <v>1</v>
      </c>
    </row>
    <row r="94" spans="1:11" ht="12.75" x14ac:dyDescent="0.2">
      <c r="A94" s="5">
        <v>42860.658774525466</v>
      </c>
      <c r="B94" s="6" t="s">
        <v>102</v>
      </c>
      <c r="C94" s="6" t="s">
        <v>175</v>
      </c>
      <c r="D94" s="6" t="s">
        <v>10</v>
      </c>
      <c r="E94" s="6" t="b">
        <v>1</v>
      </c>
      <c r="F94" s="6" t="s">
        <v>102</v>
      </c>
      <c r="G94" s="6" t="s">
        <v>31</v>
      </c>
      <c r="H94" s="6" t="s">
        <v>8</v>
      </c>
      <c r="I94" s="6">
        <v>21</v>
      </c>
      <c r="J94" s="6" t="s">
        <v>157</v>
      </c>
      <c r="K94" s="6" t="b">
        <v>1</v>
      </c>
    </row>
    <row r="95" spans="1:11" ht="12.75" x14ac:dyDescent="0.2">
      <c r="A95" s="5">
        <v>42863.006267407407</v>
      </c>
      <c r="B95" s="6" t="s">
        <v>9</v>
      </c>
      <c r="C95" s="6" t="s">
        <v>174</v>
      </c>
      <c r="D95" s="6" t="s">
        <v>47</v>
      </c>
      <c r="E95" s="6" t="b">
        <v>0</v>
      </c>
      <c r="F95" s="6" t="s">
        <v>7</v>
      </c>
      <c r="G95" s="6" t="s">
        <v>7</v>
      </c>
      <c r="H95" s="6" t="s">
        <v>13</v>
      </c>
      <c r="I95" s="6">
        <v>21</v>
      </c>
      <c r="J95" s="6" t="s">
        <v>83</v>
      </c>
      <c r="K95" s="6" t="b">
        <v>0</v>
      </c>
    </row>
    <row r="96" spans="1:11" ht="12.75" x14ac:dyDescent="0.2">
      <c r="A96" s="5">
        <v>42860.711341331014</v>
      </c>
      <c r="B96" s="6" t="s">
        <v>53</v>
      </c>
      <c r="C96" s="6" t="s">
        <v>178</v>
      </c>
      <c r="D96" s="6" t="s">
        <v>21</v>
      </c>
      <c r="E96" s="6" t="b">
        <v>1</v>
      </c>
      <c r="F96" s="6" t="s">
        <v>53</v>
      </c>
      <c r="G96" s="6" t="s">
        <v>129</v>
      </c>
      <c r="H96" s="6" t="s">
        <v>13</v>
      </c>
      <c r="I96" s="6">
        <v>21</v>
      </c>
      <c r="J96" s="6" t="s">
        <v>83</v>
      </c>
      <c r="K96" s="6" t="b">
        <v>1</v>
      </c>
    </row>
    <row r="97" spans="1:11" ht="12.75" x14ac:dyDescent="0.2">
      <c r="A97" s="5">
        <v>42862.766702083332</v>
      </c>
      <c r="B97" s="6" t="s">
        <v>4</v>
      </c>
      <c r="C97" s="6" t="s">
        <v>12</v>
      </c>
      <c r="D97" s="6" t="s">
        <v>6</v>
      </c>
      <c r="E97" s="6" t="b">
        <v>0</v>
      </c>
      <c r="F97" s="6" t="s">
        <v>7</v>
      </c>
      <c r="G97" s="6" t="s">
        <v>7</v>
      </c>
      <c r="H97" s="6" t="s">
        <v>13</v>
      </c>
      <c r="I97" s="6">
        <v>21</v>
      </c>
      <c r="J97" s="6" t="s">
        <v>162</v>
      </c>
      <c r="K97" s="6" t="b">
        <v>0</v>
      </c>
    </row>
    <row r="98" spans="1:11" ht="12.75" x14ac:dyDescent="0.2">
      <c r="A98" s="5">
        <v>42859.635255104164</v>
      </c>
      <c r="B98" s="6" t="s">
        <v>30</v>
      </c>
      <c r="C98" s="6" t="s">
        <v>176</v>
      </c>
      <c r="D98" s="6" t="s">
        <v>47</v>
      </c>
      <c r="E98" s="6" t="b">
        <v>1</v>
      </c>
      <c r="F98" s="6" t="s">
        <v>30</v>
      </c>
      <c r="G98" s="6" t="s">
        <v>17</v>
      </c>
      <c r="H98" s="6" t="s">
        <v>8</v>
      </c>
      <c r="I98" s="6">
        <v>21</v>
      </c>
      <c r="J98" s="6" t="s">
        <v>51</v>
      </c>
      <c r="K98" s="6" t="b">
        <v>0</v>
      </c>
    </row>
    <row r="99" spans="1:11" ht="12.75" x14ac:dyDescent="0.2">
      <c r="A99" s="5">
        <v>42859.588300856485</v>
      </c>
      <c r="B99" s="6" t="s">
        <v>9</v>
      </c>
      <c r="C99" s="6" t="s">
        <v>178</v>
      </c>
      <c r="D99" s="6" t="s">
        <v>21</v>
      </c>
      <c r="E99" s="6" t="b">
        <v>1</v>
      </c>
      <c r="F99" s="6" t="s">
        <v>9</v>
      </c>
      <c r="G99" s="6" t="s">
        <v>43</v>
      </c>
      <c r="H99" s="6" t="s">
        <v>13</v>
      </c>
      <c r="I99" s="6">
        <v>21</v>
      </c>
      <c r="J99" s="6" t="s">
        <v>145</v>
      </c>
      <c r="K99" s="6" t="b">
        <v>1</v>
      </c>
    </row>
    <row r="100" spans="1:11" ht="12.75" x14ac:dyDescent="0.2">
      <c r="A100" s="5">
        <v>42859.683354490742</v>
      </c>
      <c r="B100" s="6" t="s">
        <v>95</v>
      </c>
      <c r="C100" s="6" t="s">
        <v>5</v>
      </c>
      <c r="D100" s="6" t="s">
        <v>10</v>
      </c>
      <c r="E100" s="6" t="b">
        <v>1</v>
      </c>
      <c r="F100" s="6" t="s">
        <v>95</v>
      </c>
      <c r="G100" s="6" t="s">
        <v>7</v>
      </c>
      <c r="H100" s="6" t="s">
        <v>8</v>
      </c>
      <c r="I100" s="6">
        <v>21</v>
      </c>
      <c r="J100" s="6" t="s">
        <v>145</v>
      </c>
      <c r="K100" s="6" t="b">
        <v>0</v>
      </c>
    </row>
    <row r="101" spans="1:11" ht="12.75" x14ac:dyDescent="0.2">
      <c r="A101" s="5">
        <v>42857.757315590279</v>
      </c>
      <c r="B101" s="6" t="s">
        <v>4</v>
      </c>
      <c r="C101" s="6" t="s">
        <v>5</v>
      </c>
      <c r="D101" s="6" t="s">
        <v>6</v>
      </c>
      <c r="E101" s="6" t="b">
        <v>1</v>
      </c>
      <c r="F101" s="6" t="s">
        <v>7</v>
      </c>
      <c r="G101" s="6" t="s">
        <v>7</v>
      </c>
      <c r="H101" s="6" t="s">
        <v>13</v>
      </c>
      <c r="I101" s="6">
        <v>21</v>
      </c>
      <c r="J101" s="6" t="s">
        <v>141</v>
      </c>
      <c r="K101" s="6" t="b">
        <v>0</v>
      </c>
    </row>
    <row r="102" spans="1:11" ht="12.75" x14ac:dyDescent="0.2">
      <c r="A102" s="5">
        <v>42857.777346342591</v>
      </c>
      <c r="B102" s="6" t="s">
        <v>26</v>
      </c>
      <c r="C102" s="6" t="s">
        <v>176</v>
      </c>
      <c r="D102" s="6" t="s">
        <v>25</v>
      </c>
      <c r="E102" s="6" t="b">
        <v>0</v>
      </c>
      <c r="F102" s="6" t="s">
        <v>7</v>
      </c>
      <c r="G102" s="6" t="s">
        <v>7</v>
      </c>
      <c r="H102" s="6" t="s">
        <v>8</v>
      </c>
      <c r="I102" s="6">
        <v>21</v>
      </c>
      <c r="J102" s="6" t="s">
        <v>141</v>
      </c>
      <c r="K102" s="6" t="b">
        <v>0</v>
      </c>
    </row>
    <row r="103" spans="1:11" ht="12.75" x14ac:dyDescent="0.2">
      <c r="A103" s="5">
        <v>42857.780718391208</v>
      </c>
      <c r="B103" s="6" t="s">
        <v>4</v>
      </c>
      <c r="C103" s="6" t="s">
        <v>5</v>
      </c>
      <c r="D103" s="6" t="s">
        <v>6</v>
      </c>
      <c r="E103" s="6" t="b">
        <v>0</v>
      </c>
      <c r="F103" s="6" t="s">
        <v>7</v>
      </c>
      <c r="G103" s="6" t="s">
        <v>7</v>
      </c>
      <c r="H103" s="6" t="s">
        <v>8</v>
      </c>
      <c r="I103" s="6">
        <v>21</v>
      </c>
      <c r="J103" s="6" t="s">
        <v>141</v>
      </c>
      <c r="K103" s="6" t="b">
        <v>0</v>
      </c>
    </row>
    <row r="104" spans="1:11" ht="12.75" x14ac:dyDescent="0.2">
      <c r="A104" s="5">
        <v>42857.817749212962</v>
      </c>
      <c r="B104" s="6" t="s">
        <v>35</v>
      </c>
      <c r="C104" s="6" t="s">
        <v>176</v>
      </c>
      <c r="D104" s="6" t="s">
        <v>10</v>
      </c>
      <c r="E104" s="6" t="b">
        <v>1</v>
      </c>
      <c r="F104" s="6" t="s">
        <v>35</v>
      </c>
      <c r="G104" s="6" t="s">
        <v>36</v>
      </c>
      <c r="H104" s="6" t="s">
        <v>8</v>
      </c>
      <c r="I104" s="6">
        <v>21</v>
      </c>
      <c r="J104" s="6" t="s">
        <v>141</v>
      </c>
      <c r="K104" s="6" t="b">
        <v>1</v>
      </c>
    </row>
    <row r="105" spans="1:11" ht="12.75" x14ac:dyDescent="0.2">
      <c r="A105" s="5">
        <v>42857.82287556713</v>
      </c>
      <c r="B105" s="6" t="s">
        <v>19</v>
      </c>
      <c r="C105" s="6" t="s">
        <v>174</v>
      </c>
      <c r="D105" s="6" t="s">
        <v>21</v>
      </c>
      <c r="E105" s="6" t="b">
        <v>1</v>
      </c>
      <c r="F105" s="6" t="s">
        <v>19</v>
      </c>
      <c r="G105" s="6" t="s">
        <v>20</v>
      </c>
      <c r="H105" s="6" t="s">
        <v>8</v>
      </c>
      <c r="I105" s="6">
        <v>21</v>
      </c>
      <c r="J105" s="6" t="s">
        <v>141</v>
      </c>
      <c r="K105" s="6" t="b">
        <v>1</v>
      </c>
    </row>
    <row r="106" spans="1:11" ht="12.75" x14ac:dyDescent="0.2">
      <c r="A106" s="5">
        <v>42857.995971215278</v>
      </c>
      <c r="B106" s="6" t="s">
        <v>28</v>
      </c>
      <c r="C106" s="6" t="s">
        <v>176</v>
      </c>
      <c r="D106" s="6" t="s">
        <v>10</v>
      </c>
      <c r="E106" s="6" t="b">
        <v>1</v>
      </c>
      <c r="F106" s="6" t="s">
        <v>28</v>
      </c>
      <c r="G106" s="6" t="s">
        <v>37</v>
      </c>
      <c r="H106" s="6" t="s">
        <v>8</v>
      </c>
      <c r="I106" s="6">
        <v>21</v>
      </c>
      <c r="J106" s="6" t="s">
        <v>141</v>
      </c>
      <c r="K106" s="6" t="b">
        <v>1</v>
      </c>
    </row>
    <row r="107" spans="1:11" ht="12.75" x14ac:dyDescent="0.2">
      <c r="A107" s="5">
        <v>42858.434201192125</v>
      </c>
      <c r="B107" s="6" t="s">
        <v>50</v>
      </c>
      <c r="C107" s="6" t="s">
        <v>176</v>
      </c>
      <c r="D107" s="6" t="s">
        <v>25</v>
      </c>
      <c r="E107" s="6" t="b">
        <v>0</v>
      </c>
      <c r="F107" s="6" t="s">
        <v>7</v>
      </c>
      <c r="G107" s="6" t="s">
        <v>7</v>
      </c>
      <c r="H107" s="6" t="s">
        <v>8</v>
      </c>
      <c r="I107" s="6">
        <v>21</v>
      </c>
      <c r="J107" s="6" t="s">
        <v>141</v>
      </c>
      <c r="K107" s="6" t="b">
        <v>0</v>
      </c>
    </row>
    <row r="108" spans="1:11" ht="12.75" x14ac:dyDescent="0.2">
      <c r="A108" s="5">
        <v>42860.350979224539</v>
      </c>
      <c r="B108" s="6" t="s">
        <v>65</v>
      </c>
      <c r="C108" s="6" t="s">
        <v>174</v>
      </c>
      <c r="D108" s="6" t="s">
        <v>21</v>
      </c>
      <c r="E108" s="6" t="b">
        <v>1</v>
      </c>
      <c r="F108" s="6" t="s">
        <v>65</v>
      </c>
      <c r="G108" s="6" t="s">
        <v>136</v>
      </c>
      <c r="H108" s="6" t="s">
        <v>8</v>
      </c>
      <c r="I108" s="6">
        <v>21</v>
      </c>
      <c r="J108" s="6" t="s">
        <v>141</v>
      </c>
      <c r="K108" s="6" t="b">
        <v>1</v>
      </c>
    </row>
    <row r="109" spans="1:11" ht="12.75" x14ac:dyDescent="0.2">
      <c r="A109" s="5">
        <v>42861.704345763894</v>
      </c>
      <c r="B109" s="6" t="s">
        <v>26</v>
      </c>
      <c r="C109" s="6" t="s">
        <v>174</v>
      </c>
      <c r="D109" s="6" t="s">
        <v>21</v>
      </c>
      <c r="E109" s="6" t="b">
        <v>1</v>
      </c>
      <c r="F109" s="6" t="s">
        <v>26</v>
      </c>
      <c r="G109" s="6" t="s">
        <v>7</v>
      </c>
      <c r="H109" s="6" t="s">
        <v>8</v>
      </c>
      <c r="I109" s="6">
        <v>21</v>
      </c>
      <c r="J109" s="6" t="s">
        <v>141</v>
      </c>
      <c r="K109" s="6" t="b">
        <v>0</v>
      </c>
    </row>
    <row r="110" spans="1:11" ht="12.75" x14ac:dyDescent="0.2">
      <c r="A110" s="5">
        <v>42859.92228741898</v>
      </c>
      <c r="B110" s="6" t="s">
        <v>32</v>
      </c>
      <c r="C110" s="6" t="s">
        <v>176</v>
      </c>
      <c r="D110" s="6" t="s">
        <v>15</v>
      </c>
      <c r="E110" s="6" t="b">
        <v>1</v>
      </c>
      <c r="F110" s="6" t="s">
        <v>32</v>
      </c>
      <c r="G110" s="6" t="s">
        <v>122</v>
      </c>
      <c r="H110" s="6" t="s">
        <v>8</v>
      </c>
      <c r="I110" s="6">
        <v>21</v>
      </c>
      <c r="J110" s="6" t="s">
        <v>153</v>
      </c>
      <c r="K110" s="6" t="b">
        <v>0</v>
      </c>
    </row>
    <row r="111" spans="1:11" ht="12.75" x14ac:dyDescent="0.2">
      <c r="A111" s="5">
        <v>42857.853635208332</v>
      </c>
      <c r="B111" s="6" t="s">
        <v>32</v>
      </c>
      <c r="C111" s="6" t="s">
        <v>175</v>
      </c>
      <c r="D111" s="6" t="s">
        <v>42</v>
      </c>
      <c r="E111" s="6" t="b">
        <v>1</v>
      </c>
      <c r="F111" s="6" t="s">
        <v>9</v>
      </c>
      <c r="G111" s="6" t="s">
        <v>122</v>
      </c>
      <c r="H111" s="6" t="s">
        <v>8</v>
      </c>
      <c r="I111" s="6">
        <v>21</v>
      </c>
      <c r="J111" s="6" t="s">
        <v>76</v>
      </c>
      <c r="K111" s="6" t="b">
        <v>1</v>
      </c>
    </row>
    <row r="112" spans="1:11" ht="12.75" x14ac:dyDescent="0.2">
      <c r="A112" s="5">
        <v>42859.757728136574</v>
      </c>
      <c r="B112" s="6" t="s">
        <v>4</v>
      </c>
      <c r="C112" s="6" t="s">
        <v>176</v>
      </c>
      <c r="D112" s="6" t="s">
        <v>6</v>
      </c>
      <c r="E112" s="6" t="b">
        <v>0</v>
      </c>
      <c r="F112" s="6" t="s">
        <v>60</v>
      </c>
      <c r="G112" s="6" t="s">
        <v>7</v>
      </c>
      <c r="H112" s="6" t="s">
        <v>13</v>
      </c>
      <c r="I112" s="6">
        <v>21</v>
      </c>
      <c r="J112" s="6" t="s">
        <v>76</v>
      </c>
      <c r="K112" s="6" t="b">
        <v>0</v>
      </c>
    </row>
    <row r="113" spans="1:11" ht="12.75" x14ac:dyDescent="0.2">
      <c r="A113" s="5">
        <v>42862.02647759259</v>
      </c>
      <c r="B113" s="6" t="s">
        <v>106</v>
      </c>
      <c r="C113" s="6" t="s">
        <v>174</v>
      </c>
      <c r="D113" s="6" t="s">
        <v>10</v>
      </c>
      <c r="E113" s="6" t="b">
        <v>1</v>
      </c>
      <c r="F113" s="6" t="s">
        <v>106</v>
      </c>
      <c r="G113" s="6" t="s">
        <v>7</v>
      </c>
      <c r="H113" s="6" t="s">
        <v>8</v>
      </c>
      <c r="I113" s="6">
        <v>21</v>
      </c>
      <c r="J113" s="6" t="s">
        <v>76</v>
      </c>
      <c r="K113" s="6" t="b">
        <v>0</v>
      </c>
    </row>
    <row r="114" spans="1:11" ht="12.75" x14ac:dyDescent="0.2">
      <c r="A114" s="5">
        <v>42862.838533599541</v>
      </c>
      <c r="B114" s="6" t="s">
        <v>35</v>
      </c>
      <c r="C114" s="6" t="s">
        <v>176</v>
      </c>
      <c r="D114" s="6" t="s">
        <v>10</v>
      </c>
      <c r="E114" s="6" t="b">
        <v>1</v>
      </c>
      <c r="F114" s="6" t="s">
        <v>32</v>
      </c>
      <c r="G114" s="6" t="s">
        <v>78</v>
      </c>
      <c r="H114" s="6" t="s">
        <v>8</v>
      </c>
      <c r="I114" s="6">
        <v>21</v>
      </c>
      <c r="J114" s="6" t="s">
        <v>76</v>
      </c>
      <c r="K114" s="6" t="b">
        <v>1</v>
      </c>
    </row>
    <row r="115" spans="1:11" ht="12.75" x14ac:dyDescent="0.2">
      <c r="A115" s="5">
        <v>42862.857035486115</v>
      </c>
      <c r="B115" s="6" t="s">
        <v>117</v>
      </c>
      <c r="C115" s="6" t="s">
        <v>176</v>
      </c>
      <c r="D115" s="6" t="s">
        <v>10</v>
      </c>
      <c r="E115" s="6" t="b">
        <v>1</v>
      </c>
      <c r="F115" s="6" t="s">
        <v>117</v>
      </c>
      <c r="G115" s="6" t="s">
        <v>17</v>
      </c>
      <c r="H115" s="6" t="s">
        <v>8</v>
      </c>
      <c r="I115" s="6">
        <v>21</v>
      </c>
      <c r="J115" s="6" t="s">
        <v>76</v>
      </c>
      <c r="K115" s="6" t="b">
        <v>1</v>
      </c>
    </row>
    <row r="116" spans="1:11" ht="12.75" x14ac:dyDescent="0.2">
      <c r="A116" s="5">
        <v>42860.654079502317</v>
      </c>
      <c r="B116" s="6" t="s">
        <v>44</v>
      </c>
      <c r="C116" s="6" t="s">
        <v>178</v>
      </c>
      <c r="D116" s="6" t="s">
        <v>10</v>
      </c>
      <c r="E116" s="6" t="b">
        <v>1</v>
      </c>
      <c r="F116" s="6" t="s">
        <v>60</v>
      </c>
      <c r="G116" s="6" t="s">
        <v>68</v>
      </c>
      <c r="H116" s="6" t="s">
        <v>8</v>
      </c>
      <c r="I116" s="6">
        <v>21</v>
      </c>
      <c r="J116" s="6" t="s">
        <v>69</v>
      </c>
      <c r="K116" s="6" t="b">
        <v>1</v>
      </c>
    </row>
    <row r="117" spans="1:11" ht="12.75" x14ac:dyDescent="0.2">
      <c r="A117" s="5">
        <v>42860.721876307871</v>
      </c>
      <c r="B117" s="6" t="s">
        <v>104</v>
      </c>
      <c r="C117" s="6" t="s">
        <v>174</v>
      </c>
      <c r="D117" s="6" t="s">
        <v>21</v>
      </c>
      <c r="E117" s="6" t="b">
        <v>0</v>
      </c>
      <c r="F117" s="6" t="s">
        <v>35</v>
      </c>
      <c r="G117" s="6" t="s">
        <v>37</v>
      </c>
      <c r="H117" s="6" t="s">
        <v>13</v>
      </c>
      <c r="I117" s="6">
        <v>21</v>
      </c>
      <c r="J117" s="6" t="s">
        <v>69</v>
      </c>
      <c r="K117" s="6" t="b">
        <v>1</v>
      </c>
    </row>
    <row r="118" spans="1:11" ht="12.75" x14ac:dyDescent="0.2">
      <c r="A118" s="5">
        <v>42862.030934907409</v>
      </c>
      <c r="B118" s="6" t="s">
        <v>116</v>
      </c>
      <c r="C118" s="6" t="s">
        <v>176</v>
      </c>
      <c r="D118" s="6" t="s">
        <v>10</v>
      </c>
      <c r="E118" s="6" t="b">
        <v>1</v>
      </c>
      <c r="F118" s="6" t="s">
        <v>116</v>
      </c>
      <c r="G118" s="6" t="s">
        <v>138</v>
      </c>
      <c r="H118" s="6" t="s">
        <v>8</v>
      </c>
      <c r="I118" s="6">
        <v>21</v>
      </c>
      <c r="J118" s="6" t="s">
        <v>69</v>
      </c>
      <c r="K118" s="6" t="b">
        <v>1</v>
      </c>
    </row>
    <row r="119" spans="1:11" ht="12.75" x14ac:dyDescent="0.2">
      <c r="A119" s="5">
        <v>42863.635026099539</v>
      </c>
      <c r="B119" s="6" t="s">
        <v>30</v>
      </c>
      <c r="C119" s="6" t="s">
        <v>176</v>
      </c>
      <c r="D119" s="6" t="s">
        <v>47</v>
      </c>
      <c r="E119" s="6" t="b">
        <v>0</v>
      </c>
      <c r="F119" s="6" t="s">
        <v>7</v>
      </c>
      <c r="G119" s="6" t="s">
        <v>7</v>
      </c>
      <c r="H119" s="6" t="s">
        <v>8</v>
      </c>
      <c r="I119" s="6">
        <v>21</v>
      </c>
      <c r="J119" s="6" t="s">
        <v>69</v>
      </c>
      <c r="K119" s="6" t="b">
        <v>0</v>
      </c>
    </row>
    <row r="120" spans="1:11" ht="12.75" x14ac:dyDescent="0.2">
      <c r="A120" s="5">
        <v>42859.894129699074</v>
      </c>
      <c r="B120" s="6" t="s">
        <v>28</v>
      </c>
      <c r="C120" s="6" t="s">
        <v>174</v>
      </c>
      <c r="D120" s="6" t="s">
        <v>10</v>
      </c>
      <c r="E120" s="6" t="b">
        <v>1</v>
      </c>
      <c r="F120" s="6" t="s">
        <v>28</v>
      </c>
      <c r="G120" s="6" t="s">
        <v>29</v>
      </c>
      <c r="H120" s="6" t="s">
        <v>8</v>
      </c>
      <c r="I120" s="6">
        <v>21</v>
      </c>
      <c r="J120" s="6" t="s">
        <v>154</v>
      </c>
      <c r="K120" s="6" t="b">
        <v>1</v>
      </c>
    </row>
    <row r="121" spans="1:11" ht="12.75" x14ac:dyDescent="0.2">
      <c r="A121" s="5">
        <v>42862.810488969903</v>
      </c>
      <c r="B121" s="6" t="s">
        <v>4</v>
      </c>
      <c r="C121" s="6" t="s">
        <v>12</v>
      </c>
      <c r="D121" s="6" t="s">
        <v>6</v>
      </c>
      <c r="E121" s="6" t="b">
        <v>0</v>
      </c>
      <c r="F121" s="6" t="s">
        <v>7</v>
      </c>
      <c r="G121" s="6" t="s">
        <v>7</v>
      </c>
      <c r="H121" s="6" t="s">
        <v>13</v>
      </c>
      <c r="I121" s="6">
        <v>21</v>
      </c>
      <c r="J121" s="6" t="s">
        <v>62</v>
      </c>
      <c r="K121" s="6" t="b">
        <v>0</v>
      </c>
    </row>
    <row r="122" spans="1:11" ht="12.75" x14ac:dyDescent="0.2">
      <c r="A122" s="5">
        <v>42859.959662800931</v>
      </c>
      <c r="B122" s="6" t="s">
        <v>100</v>
      </c>
      <c r="C122" s="6" t="s">
        <v>176</v>
      </c>
      <c r="D122" s="6" t="s">
        <v>10</v>
      </c>
      <c r="E122" s="6" t="b">
        <v>1</v>
      </c>
      <c r="F122" s="6" t="s">
        <v>115</v>
      </c>
      <c r="G122" s="6" t="s">
        <v>7</v>
      </c>
      <c r="H122" s="6" t="s">
        <v>8</v>
      </c>
      <c r="I122" s="6">
        <v>21</v>
      </c>
      <c r="J122" s="6" t="s">
        <v>146</v>
      </c>
      <c r="K122" s="6" t="b">
        <v>0</v>
      </c>
    </row>
    <row r="123" spans="1:11" ht="12.75" x14ac:dyDescent="0.2">
      <c r="A123" s="5">
        <v>42860.483716168979</v>
      </c>
      <c r="B123" s="6" t="s">
        <v>53</v>
      </c>
      <c r="C123" s="6" t="s">
        <v>178</v>
      </c>
      <c r="D123" s="6" t="s">
        <v>41</v>
      </c>
      <c r="E123" s="6" t="b">
        <v>0</v>
      </c>
      <c r="F123" s="6" t="s">
        <v>7</v>
      </c>
      <c r="G123" s="6" t="s">
        <v>7</v>
      </c>
      <c r="H123" s="6" t="s">
        <v>8</v>
      </c>
      <c r="I123" s="6">
        <v>21</v>
      </c>
      <c r="J123" s="6" t="s">
        <v>146</v>
      </c>
      <c r="K123" s="6" t="b">
        <v>0</v>
      </c>
    </row>
    <row r="124" spans="1:11" ht="12.75" x14ac:dyDescent="0.2">
      <c r="A124" s="5">
        <v>42862.75593728009</v>
      </c>
      <c r="B124" s="6" t="s">
        <v>9</v>
      </c>
      <c r="C124" s="6" t="s">
        <v>174</v>
      </c>
      <c r="D124" s="6" t="s">
        <v>21</v>
      </c>
      <c r="E124" s="6" t="b">
        <v>1</v>
      </c>
      <c r="F124" s="6" t="s">
        <v>9</v>
      </c>
      <c r="G124" s="6" t="s">
        <v>43</v>
      </c>
      <c r="H124" s="6" t="s">
        <v>8</v>
      </c>
      <c r="I124" s="6">
        <v>21</v>
      </c>
      <c r="J124" s="6" t="s">
        <v>146</v>
      </c>
      <c r="K124" s="6" t="b">
        <v>1</v>
      </c>
    </row>
    <row r="125" spans="1:11" ht="12.75" x14ac:dyDescent="0.2">
      <c r="A125" s="5">
        <v>42862.958151782412</v>
      </c>
      <c r="B125" s="6" t="s">
        <v>81</v>
      </c>
      <c r="C125" s="6" t="s">
        <v>5</v>
      </c>
      <c r="D125" s="6" t="s">
        <v>10</v>
      </c>
      <c r="E125" s="6" t="b">
        <v>1</v>
      </c>
      <c r="F125" s="6" t="s">
        <v>81</v>
      </c>
      <c r="G125" s="6" t="s">
        <v>7</v>
      </c>
      <c r="H125" s="6" t="s">
        <v>8</v>
      </c>
      <c r="I125" s="6">
        <v>21</v>
      </c>
      <c r="J125" s="6" t="s">
        <v>146</v>
      </c>
      <c r="K125" s="6" t="b">
        <v>1</v>
      </c>
    </row>
    <row r="126" spans="1:11" ht="12.75" x14ac:dyDescent="0.2">
      <c r="A126" s="5">
        <v>42859.3874134375</v>
      </c>
      <c r="B126" s="6" t="s">
        <v>4</v>
      </c>
      <c r="C126" s="6" t="s">
        <v>5</v>
      </c>
      <c r="D126" s="6" t="s">
        <v>6</v>
      </c>
      <c r="E126" s="6" t="b">
        <v>0</v>
      </c>
      <c r="F126" s="6" t="s">
        <v>7</v>
      </c>
      <c r="G126" s="6" t="s">
        <v>7</v>
      </c>
      <c r="H126" s="6" t="s">
        <v>8</v>
      </c>
      <c r="I126" s="6">
        <v>21</v>
      </c>
      <c r="J126" s="6" t="s">
        <v>56</v>
      </c>
      <c r="K126" s="6" t="b">
        <v>0</v>
      </c>
    </row>
    <row r="127" spans="1:11" ht="12.75" x14ac:dyDescent="0.2">
      <c r="A127" s="5">
        <v>42859.765625115746</v>
      </c>
      <c r="B127" s="6" t="s">
        <v>96</v>
      </c>
      <c r="C127" s="6" t="s">
        <v>174</v>
      </c>
      <c r="D127" s="6" t="s">
        <v>10</v>
      </c>
      <c r="E127" s="6" t="b">
        <v>1</v>
      </c>
      <c r="F127" s="6" t="s">
        <v>114</v>
      </c>
      <c r="G127" s="6" t="s">
        <v>134</v>
      </c>
      <c r="H127" s="6" t="s">
        <v>8</v>
      </c>
      <c r="I127" s="6">
        <v>21</v>
      </c>
      <c r="J127" s="6" t="s">
        <v>56</v>
      </c>
      <c r="K127" s="6" t="b">
        <v>0</v>
      </c>
    </row>
    <row r="128" spans="1:11" ht="12.75" x14ac:dyDescent="0.2">
      <c r="A128" s="5">
        <v>42859.829038807875</v>
      </c>
      <c r="B128" s="6" t="s">
        <v>9</v>
      </c>
      <c r="C128" s="6" t="s">
        <v>178</v>
      </c>
      <c r="D128" s="6" t="s">
        <v>42</v>
      </c>
      <c r="E128" s="6" t="b">
        <v>1</v>
      </c>
      <c r="F128" s="6" t="s">
        <v>9</v>
      </c>
      <c r="G128" s="6" t="s">
        <v>43</v>
      </c>
      <c r="H128" s="6" t="s">
        <v>8</v>
      </c>
      <c r="I128" s="6">
        <v>21</v>
      </c>
      <c r="J128" s="6" t="s">
        <v>56</v>
      </c>
      <c r="K128" s="6" t="b">
        <v>1</v>
      </c>
    </row>
    <row r="129" spans="1:11" ht="12.75" x14ac:dyDescent="0.2">
      <c r="A129" s="5">
        <v>42862.943108182866</v>
      </c>
      <c r="B129" s="6" t="s">
        <v>109</v>
      </c>
      <c r="C129" s="6" t="s">
        <v>178</v>
      </c>
      <c r="D129" s="6" t="s">
        <v>21</v>
      </c>
      <c r="E129" s="6" t="b">
        <v>1</v>
      </c>
      <c r="F129" s="6" t="s">
        <v>118</v>
      </c>
      <c r="G129" s="6" t="s">
        <v>140</v>
      </c>
      <c r="H129" s="6" t="s">
        <v>8</v>
      </c>
      <c r="I129" s="6">
        <v>21</v>
      </c>
      <c r="J129" s="6" t="s">
        <v>159</v>
      </c>
      <c r="K129" s="6" t="b">
        <v>0</v>
      </c>
    </row>
    <row r="130" spans="1:11" ht="12.75" x14ac:dyDescent="0.2">
      <c r="A130" s="5">
        <v>42862.754408020832</v>
      </c>
      <c r="B130" s="6" t="s">
        <v>73</v>
      </c>
      <c r="C130" s="6" t="s">
        <v>176</v>
      </c>
      <c r="D130" s="6" t="s">
        <v>10</v>
      </c>
      <c r="E130" s="6" t="b">
        <v>1</v>
      </c>
      <c r="F130" s="6" t="s">
        <v>74</v>
      </c>
      <c r="G130" s="6" t="s">
        <v>139</v>
      </c>
      <c r="H130" s="6" t="s">
        <v>8</v>
      </c>
      <c r="I130" s="6">
        <v>21</v>
      </c>
      <c r="J130" s="6" t="s">
        <v>155</v>
      </c>
      <c r="K130" s="6" t="b">
        <v>0</v>
      </c>
    </row>
    <row r="131" spans="1:11" ht="12.75" x14ac:dyDescent="0.2">
      <c r="A131" s="5">
        <v>42857.749672511578</v>
      </c>
      <c r="B131" s="6" t="s">
        <v>9</v>
      </c>
      <c r="C131" s="6" t="s">
        <v>174</v>
      </c>
      <c r="D131" s="6" t="s">
        <v>10</v>
      </c>
      <c r="E131" s="6" t="b">
        <v>1</v>
      </c>
      <c r="F131" s="6" t="s">
        <v>9</v>
      </c>
      <c r="G131" s="6" t="s">
        <v>11</v>
      </c>
      <c r="H131" s="6" t="s">
        <v>8</v>
      </c>
      <c r="I131" s="6">
        <v>21</v>
      </c>
      <c r="J131" s="6" t="s">
        <v>27</v>
      </c>
      <c r="K131" s="6" t="b">
        <v>0</v>
      </c>
    </row>
    <row r="132" spans="1:11" ht="12.75" x14ac:dyDescent="0.2">
      <c r="A132" s="5">
        <v>42857.780665127313</v>
      </c>
      <c r="B132" s="6" t="s">
        <v>18</v>
      </c>
      <c r="C132" s="6" t="s">
        <v>180</v>
      </c>
      <c r="D132" s="6" t="s">
        <v>21</v>
      </c>
      <c r="E132" s="6" t="b">
        <v>1</v>
      </c>
      <c r="F132" s="6" t="s">
        <v>19</v>
      </c>
      <c r="G132" s="6" t="s">
        <v>20</v>
      </c>
      <c r="H132" s="6" t="s">
        <v>8</v>
      </c>
      <c r="I132" s="6">
        <v>21</v>
      </c>
      <c r="J132" s="6" t="s">
        <v>27</v>
      </c>
      <c r="K132" s="6" t="b">
        <v>1</v>
      </c>
    </row>
    <row r="133" spans="1:11" ht="12.75" x14ac:dyDescent="0.2">
      <c r="A133" s="5">
        <v>42857.784244872688</v>
      </c>
      <c r="B133" s="6" t="s">
        <v>28</v>
      </c>
      <c r="C133" s="6" t="s">
        <v>176</v>
      </c>
      <c r="D133" s="6" t="s">
        <v>15</v>
      </c>
      <c r="E133" s="6" t="b">
        <v>1</v>
      </c>
      <c r="F133" s="6" t="s">
        <v>28</v>
      </c>
      <c r="G133" s="6" t="s">
        <v>29</v>
      </c>
      <c r="H133" s="6" t="s">
        <v>8</v>
      </c>
      <c r="I133" s="6">
        <v>21</v>
      </c>
      <c r="J133" s="6" t="s">
        <v>27</v>
      </c>
      <c r="K133" s="6" t="b">
        <v>0</v>
      </c>
    </row>
    <row r="134" spans="1:11" ht="12.75" x14ac:dyDescent="0.2">
      <c r="A134" s="5">
        <v>42857.79410994213</v>
      </c>
      <c r="B134" s="6" t="s">
        <v>32</v>
      </c>
      <c r="C134" s="6" t="s">
        <v>174</v>
      </c>
      <c r="D134" s="6" t="s">
        <v>10</v>
      </c>
      <c r="E134" s="6" t="b">
        <v>1</v>
      </c>
      <c r="F134" s="6" t="s">
        <v>32</v>
      </c>
      <c r="G134" s="6" t="s">
        <v>11</v>
      </c>
      <c r="H134" s="6" t="s">
        <v>8</v>
      </c>
      <c r="I134" s="6">
        <v>21</v>
      </c>
      <c r="J134" s="6" t="s">
        <v>27</v>
      </c>
      <c r="K134" s="6" t="b">
        <v>0</v>
      </c>
    </row>
    <row r="135" spans="1:11" ht="12.75" x14ac:dyDescent="0.2">
      <c r="A135" s="5">
        <v>42857.860494224537</v>
      </c>
      <c r="B135" s="6" t="s">
        <v>26</v>
      </c>
      <c r="C135" s="6" t="s">
        <v>176</v>
      </c>
      <c r="D135" s="6" t="s">
        <v>21</v>
      </c>
      <c r="E135" s="6" t="b">
        <v>0</v>
      </c>
      <c r="F135" s="6" t="s">
        <v>7</v>
      </c>
      <c r="G135" s="6" t="s">
        <v>7</v>
      </c>
      <c r="H135" s="6" t="s">
        <v>8</v>
      </c>
      <c r="I135" s="6">
        <v>21</v>
      </c>
      <c r="J135" s="6" t="s">
        <v>27</v>
      </c>
      <c r="K135" s="6" t="b">
        <v>1</v>
      </c>
    </row>
    <row r="136" spans="1:11" ht="12.75" x14ac:dyDescent="0.2">
      <c r="A136" s="5">
        <v>42857.944934537038</v>
      </c>
      <c r="B136" s="6" t="s">
        <v>30</v>
      </c>
      <c r="C136" s="6" t="s">
        <v>174</v>
      </c>
      <c r="D136" s="6" t="s">
        <v>10</v>
      </c>
      <c r="E136" s="6" t="b">
        <v>1</v>
      </c>
      <c r="F136" s="6" t="s">
        <v>30</v>
      </c>
      <c r="G136" s="6" t="s">
        <v>31</v>
      </c>
      <c r="H136" s="6" t="s">
        <v>8</v>
      </c>
      <c r="I136" s="6">
        <v>21</v>
      </c>
      <c r="J136" s="6" t="s">
        <v>27</v>
      </c>
      <c r="K136" s="6" t="b">
        <v>1</v>
      </c>
    </row>
    <row r="137" spans="1:11" ht="12.75" x14ac:dyDescent="0.2">
      <c r="A137" s="5">
        <v>42857.982436979168</v>
      </c>
      <c r="B137" s="6" t="s">
        <v>4</v>
      </c>
      <c r="C137" s="6" t="s">
        <v>5</v>
      </c>
      <c r="D137" s="6" t="s">
        <v>10</v>
      </c>
      <c r="E137" s="6" t="b">
        <v>0</v>
      </c>
      <c r="F137" s="6" t="s">
        <v>7</v>
      </c>
      <c r="G137" s="6" t="s">
        <v>7</v>
      </c>
      <c r="H137" s="6" t="s">
        <v>8</v>
      </c>
      <c r="I137" s="6">
        <v>21</v>
      </c>
      <c r="J137" s="6" t="s">
        <v>27</v>
      </c>
      <c r="K137" s="6" t="b">
        <v>0</v>
      </c>
    </row>
    <row r="138" spans="1:11" ht="12.75" x14ac:dyDescent="0.2">
      <c r="A138" s="5">
        <v>42858.851123993052</v>
      </c>
      <c r="B138" s="6" t="s">
        <v>19</v>
      </c>
      <c r="C138" s="6" t="s">
        <v>174</v>
      </c>
      <c r="D138" s="6" t="s">
        <v>10</v>
      </c>
      <c r="E138" s="6" t="b">
        <v>1</v>
      </c>
      <c r="F138" s="6" t="s">
        <v>19</v>
      </c>
      <c r="G138" s="6" t="s">
        <v>23</v>
      </c>
      <c r="H138" s="6" t="s">
        <v>8</v>
      </c>
      <c r="I138" s="6">
        <v>21</v>
      </c>
      <c r="J138" s="6" t="s">
        <v>27</v>
      </c>
      <c r="K138" s="6" t="b">
        <v>1</v>
      </c>
    </row>
    <row r="139" spans="1:11" ht="12.75" x14ac:dyDescent="0.2">
      <c r="A139" s="5">
        <v>42862.919395787038</v>
      </c>
      <c r="B139" s="6" t="s">
        <v>30</v>
      </c>
      <c r="C139" s="6" t="s">
        <v>178</v>
      </c>
      <c r="D139" s="6" t="s">
        <v>10</v>
      </c>
      <c r="E139" s="6" t="b">
        <v>1</v>
      </c>
      <c r="F139" s="6" t="s">
        <v>30</v>
      </c>
      <c r="G139" s="6" t="s">
        <v>31</v>
      </c>
      <c r="H139" s="6" t="s">
        <v>8</v>
      </c>
      <c r="I139" s="6">
        <v>21</v>
      </c>
      <c r="J139" s="6" t="s">
        <v>27</v>
      </c>
      <c r="K139" s="6" t="b">
        <v>1</v>
      </c>
    </row>
    <row r="140" spans="1:11" ht="12.75" x14ac:dyDescent="0.2">
      <c r="A140" s="5">
        <v>42863.844903287041</v>
      </c>
      <c r="B140" s="6" t="s">
        <v>54</v>
      </c>
      <c r="C140" s="6" t="s">
        <v>176</v>
      </c>
      <c r="D140" s="6" t="s">
        <v>21</v>
      </c>
      <c r="E140" s="6" t="b">
        <v>1</v>
      </c>
      <c r="F140" s="6" t="s">
        <v>32</v>
      </c>
      <c r="G140" s="6" t="s">
        <v>43</v>
      </c>
      <c r="H140" s="6" t="s">
        <v>8</v>
      </c>
      <c r="I140" s="6">
        <v>21</v>
      </c>
      <c r="J140" s="6" t="s">
        <v>27</v>
      </c>
      <c r="K140" s="6" t="b">
        <v>0</v>
      </c>
    </row>
    <row r="141" spans="1:11" ht="12.75" x14ac:dyDescent="0.2">
      <c r="A141" s="5">
        <v>42862.775425949076</v>
      </c>
      <c r="B141" s="6" t="s">
        <v>4</v>
      </c>
      <c r="C141" s="6" t="s">
        <v>5</v>
      </c>
      <c r="D141" s="6" t="s">
        <v>6</v>
      </c>
      <c r="E141" s="6" t="b">
        <v>0</v>
      </c>
      <c r="F141" s="6" t="s">
        <v>48</v>
      </c>
      <c r="G141" s="6" t="s">
        <v>7</v>
      </c>
      <c r="H141" s="6" t="s">
        <v>8</v>
      </c>
      <c r="I141" s="6">
        <v>22</v>
      </c>
      <c r="J141" s="6" t="s">
        <v>147</v>
      </c>
      <c r="K141" s="6" t="b">
        <v>0</v>
      </c>
    </row>
    <row r="142" spans="1:11" ht="12.75" x14ac:dyDescent="0.2">
      <c r="A142" s="5">
        <v>42859.919282175921</v>
      </c>
      <c r="B142" s="6" t="s">
        <v>9</v>
      </c>
      <c r="C142" s="6" t="s">
        <v>176</v>
      </c>
      <c r="D142" s="6" t="s">
        <v>10</v>
      </c>
      <c r="E142" s="6" t="b">
        <v>1</v>
      </c>
      <c r="F142" s="6" t="s">
        <v>9</v>
      </c>
      <c r="G142" s="6" t="s">
        <v>122</v>
      </c>
      <c r="H142" s="6" t="s">
        <v>8</v>
      </c>
      <c r="I142" s="6">
        <v>22</v>
      </c>
      <c r="J142" s="6" t="s">
        <v>142</v>
      </c>
      <c r="K142" s="6" t="b">
        <v>0</v>
      </c>
    </row>
    <row r="143" spans="1:11" ht="12.75" x14ac:dyDescent="0.2">
      <c r="A143" s="5">
        <v>42861.603606400458</v>
      </c>
      <c r="B143" s="6" t="s">
        <v>70</v>
      </c>
      <c r="C143" s="6" t="s">
        <v>178</v>
      </c>
      <c r="D143" s="6" t="s">
        <v>10</v>
      </c>
      <c r="E143" s="6" t="b">
        <v>1</v>
      </c>
      <c r="F143" s="6" t="s">
        <v>70</v>
      </c>
      <c r="G143" s="6" t="s">
        <v>137</v>
      </c>
      <c r="H143" s="6" t="s">
        <v>8</v>
      </c>
      <c r="I143" s="6">
        <v>22</v>
      </c>
      <c r="J143" s="6" t="s">
        <v>83</v>
      </c>
      <c r="K143" s="6" t="b">
        <v>1</v>
      </c>
    </row>
    <row r="144" spans="1:11" ht="12.75" x14ac:dyDescent="0.2">
      <c r="A144" s="5">
        <v>42861.611814131946</v>
      </c>
      <c r="B144" s="6" t="s">
        <v>105</v>
      </c>
      <c r="C144" s="6" t="s">
        <v>174</v>
      </c>
      <c r="D144" s="6" t="s">
        <v>21</v>
      </c>
      <c r="E144" s="6" t="b">
        <v>1</v>
      </c>
      <c r="F144" s="6" t="s">
        <v>71</v>
      </c>
      <c r="G144" s="6" t="s">
        <v>72</v>
      </c>
      <c r="H144" s="6" t="s">
        <v>8</v>
      </c>
      <c r="I144" s="6">
        <v>22</v>
      </c>
      <c r="J144" s="6" t="s">
        <v>83</v>
      </c>
      <c r="K144" s="6" t="b">
        <v>0</v>
      </c>
    </row>
    <row r="145" spans="1:11" ht="12.75" x14ac:dyDescent="0.2">
      <c r="A145" s="5">
        <v>42861.661457326394</v>
      </c>
      <c r="B145" s="6" t="s">
        <v>26</v>
      </c>
      <c r="C145" s="6" t="s">
        <v>176</v>
      </c>
      <c r="D145" s="6" t="s">
        <v>25</v>
      </c>
      <c r="E145" s="6" t="b">
        <v>1</v>
      </c>
      <c r="F145" s="6" t="s">
        <v>26</v>
      </c>
      <c r="G145" s="6" t="s">
        <v>7</v>
      </c>
      <c r="H145" s="6" t="s">
        <v>8</v>
      </c>
      <c r="I145" s="6">
        <v>22</v>
      </c>
      <c r="J145" s="6" t="s">
        <v>83</v>
      </c>
      <c r="K145" s="6" t="b">
        <v>0</v>
      </c>
    </row>
    <row r="146" spans="1:11" ht="12.75" x14ac:dyDescent="0.2">
      <c r="A146" s="5">
        <v>42863.472022337963</v>
      </c>
      <c r="B146" s="6" t="s">
        <v>4</v>
      </c>
      <c r="C146" s="6" t="s">
        <v>12</v>
      </c>
      <c r="D146" s="6" t="s">
        <v>6</v>
      </c>
      <c r="E146" s="6" t="b">
        <v>1</v>
      </c>
      <c r="F146" s="6" t="s">
        <v>7</v>
      </c>
      <c r="G146" s="6" t="s">
        <v>7</v>
      </c>
      <c r="H146" s="6" t="s">
        <v>13</v>
      </c>
      <c r="I146" s="6">
        <v>22</v>
      </c>
      <c r="J146" s="6" t="s">
        <v>83</v>
      </c>
      <c r="K146" s="6" t="b">
        <v>0</v>
      </c>
    </row>
    <row r="147" spans="1:11" ht="12.75" x14ac:dyDescent="0.2">
      <c r="A147" s="5">
        <v>42862.80188324074</v>
      </c>
      <c r="B147" s="6" t="s">
        <v>77</v>
      </c>
      <c r="C147" s="6" t="s">
        <v>178</v>
      </c>
      <c r="D147" s="6" t="s">
        <v>21</v>
      </c>
      <c r="E147" s="6" t="b">
        <v>1</v>
      </c>
      <c r="F147" s="6" t="s">
        <v>18</v>
      </c>
      <c r="G147" s="6" t="s">
        <v>23</v>
      </c>
      <c r="H147" s="6" t="s">
        <v>8</v>
      </c>
      <c r="I147" s="6">
        <v>22</v>
      </c>
      <c r="J147" s="6" t="s">
        <v>51</v>
      </c>
      <c r="K147" s="6" t="b">
        <v>0</v>
      </c>
    </row>
    <row r="148" spans="1:11" ht="12.75" x14ac:dyDescent="0.2">
      <c r="A148" s="5">
        <v>42862.939829467592</v>
      </c>
      <c r="B148" s="6" t="s">
        <v>4</v>
      </c>
      <c r="C148" s="6" t="s">
        <v>12</v>
      </c>
      <c r="D148" s="6" t="s">
        <v>6</v>
      </c>
      <c r="E148" s="6" t="b">
        <v>0</v>
      </c>
      <c r="F148" s="6" t="s">
        <v>7</v>
      </c>
      <c r="G148" s="6" t="s">
        <v>7</v>
      </c>
      <c r="H148" s="6" t="s">
        <v>13</v>
      </c>
      <c r="I148" s="6">
        <v>22</v>
      </c>
      <c r="J148" s="6" t="s">
        <v>152</v>
      </c>
      <c r="K148" s="6" t="b">
        <v>0</v>
      </c>
    </row>
    <row r="149" spans="1:11" ht="12.75" x14ac:dyDescent="0.2">
      <c r="A149" s="5">
        <v>42857.821410497687</v>
      </c>
      <c r="B149" s="6" t="s">
        <v>28</v>
      </c>
      <c r="C149" s="6" t="s">
        <v>178</v>
      </c>
      <c r="D149" s="6" t="s">
        <v>21</v>
      </c>
      <c r="E149" s="6" t="b">
        <v>1</v>
      </c>
      <c r="F149" s="6" t="s">
        <v>28</v>
      </c>
      <c r="G149" s="6" t="s">
        <v>37</v>
      </c>
      <c r="H149" s="6" t="s">
        <v>8</v>
      </c>
      <c r="I149" s="6">
        <v>22</v>
      </c>
      <c r="J149" s="6" t="s">
        <v>141</v>
      </c>
      <c r="K149" s="6" t="b">
        <v>1</v>
      </c>
    </row>
    <row r="150" spans="1:11" ht="12.75" x14ac:dyDescent="0.2">
      <c r="A150" s="5">
        <v>42857.906102499997</v>
      </c>
      <c r="B150" s="6" t="s">
        <v>111</v>
      </c>
      <c r="C150" s="6" t="s">
        <v>176</v>
      </c>
      <c r="D150" s="6" t="s">
        <v>10</v>
      </c>
      <c r="E150" s="6" t="b">
        <v>1</v>
      </c>
      <c r="F150" s="6" t="s">
        <v>111</v>
      </c>
      <c r="G150" s="6" t="s">
        <v>121</v>
      </c>
      <c r="H150" s="6" t="s">
        <v>8</v>
      </c>
      <c r="I150" s="6">
        <v>22</v>
      </c>
      <c r="J150" s="6" t="s">
        <v>141</v>
      </c>
      <c r="K150" s="6" t="b">
        <v>0</v>
      </c>
    </row>
    <row r="151" spans="1:11" ht="12.75" x14ac:dyDescent="0.2">
      <c r="A151" s="5">
        <v>42857.967564768522</v>
      </c>
      <c r="B151" s="6" t="s">
        <v>4</v>
      </c>
      <c r="C151" s="6" t="s">
        <v>178</v>
      </c>
      <c r="D151" s="6" t="s">
        <v>21</v>
      </c>
      <c r="E151" s="6" t="b">
        <v>1</v>
      </c>
      <c r="F151" s="6" t="s">
        <v>7</v>
      </c>
      <c r="G151" s="6" t="s">
        <v>7</v>
      </c>
      <c r="H151" s="6" t="s">
        <v>8</v>
      </c>
      <c r="I151" s="6">
        <v>22</v>
      </c>
      <c r="J151" s="6" t="s">
        <v>141</v>
      </c>
      <c r="K151" s="6" t="b">
        <v>0</v>
      </c>
    </row>
    <row r="152" spans="1:11" ht="12.75" x14ac:dyDescent="0.2">
      <c r="A152" s="5">
        <v>42858.006128854162</v>
      </c>
      <c r="B152" s="6" t="s">
        <v>26</v>
      </c>
      <c r="C152" s="6" t="s">
        <v>5</v>
      </c>
      <c r="D152" s="6" t="s">
        <v>10</v>
      </c>
      <c r="E152" s="6" t="b">
        <v>1</v>
      </c>
      <c r="F152" s="6" t="s">
        <v>26</v>
      </c>
      <c r="G152" s="6" t="s">
        <v>7</v>
      </c>
      <c r="H152" s="6" t="s">
        <v>8</v>
      </c>
      <c r="I152" s="6">
        <v>22</v>
      </c>
      <c r="J152" s="6" t="s">
        <v>141</v>
      </c>
      <c r="K152" s="6" t="b">
        <v>1</v>
      </c>
    </row>
    <row r="153" spans="1:11" ht="12.75" x14ac:dyDescent="0.2">
      <c r="A153" s="5">
        <v>42858.470767106483</v>
      </c>
      <c r="B153" s="6" t="s">
        <v>33</v>
      </c>
      <c r="C153" s="6" t="s">
        <v>178</v>
      </c>
      <c r="D153" s="6" t="s">
        <v>21</v>
      </c>
      <c r="E153" s="6" t="b">
        <v>1</v>
      </c>
      <c r="F153" s="6" t="s">
        <v>33</v>
      </c>
      <c r="G153" s="6" t="s">
        <v>120</v>
      </c>
      <c r="H153" s="6" t="s">
        <v>8</v>
      </c>
      <c r="I153" s="6">
        <v>22</v>
      </c>
      <c r="J153" s="6" t="s">
        <v>141</v>
      </c>
      <c r="K153" s="6" t="b">
        <v>0</v>
      </c>
    </row>
    <row r="154" spans="1:11" ht="12.75" x14ac:dyDescent="0.2">
      <c r="A154" s="5">
        <v>42858.879051967597</v>
      </c>
      <c r="B154" s="6" t="s">
        <v>28</v>
      </c>
      <c r="C154" s="6" t="s">
        <v>180</v>
      </c>
      <c r="D154" s="6" t="s">
        <v>21</v>
      </c>
      <c r="E154" s="6" t="b">
        <v>1</v>
      </c>
      <c r="F154" s="6" t="s">
        <v>55</v>
      </c>
      <c r="G154" s="6" t="s">
        <v>131</v>
      </c>
      <c r="H154" s="6" t="s">
        <v>8</v>
      </c>
      <c r="I154" s="6">
        <v>22</v>
      </c>
      <c r="J154" s="6" t="s">
        <v>141</v>
      </c>
      <c r="K154" s="6" t="b">
        <v>0</v>
      </c>
    </row>
    <row r="155" spans="1:11" ht="12.75" x14ac:dyDescent="0.2">
      <c r="A155" s="5">
        <v>42858.998505555559</v>
      </c>
      <c r="B155" s="6" t="s">
        <v>4</v>
      </c>
      <c r="C155" s="6" t="s">
        <v>176</v>
      </c>
      <c r="D155" s="6" t="s">
        <v>10</v>
      </c>
      <c r="E155" s="6" t="b">
        <v>0</v>
      </c>
      <c r="F155" s="6" t="s">
        <v>7</v>
      </c>
      <c r="G155" s="6" t="s">
        <v>7</v>
      </c>
      <c r="H155" s="6" t="s">
        <v>8</v>
      </c>
      <c r="I155" s="6">
        <v>22</v>
      </c>
      <c r="J155" s="6" t="s">
        <v>141</v>
      </c>
      <c r="K155" s="6" t="b">
        <v>0</v>
      </c>
    </row>
    <row r="156" spans="1:11" ht="12.75" x14ac:dyDescent="0.2">
      <c r="A156" s="5">
        <v>42859.992759594912</v>
      </c>
      <c r="B156" s="6" t="s">
        <v>9</v>
      </c>
      <c r="C156" s="6" t="s">
        <v>174</v>
      </c>
      <c r="D156" s="6" t="s">
        <v>10</v>
      </c>
      <c r="E156" s="6" t="b">
        <v>1</v>
      </c>
      <c r="F156" s="6" t="s">
        <v>9</v>
      </c>
      <c r="G156" s="6" t="s">
        <v>11</v>
      </c>
      <c r="H156" s="6" t="s">
        <v>8</v>
      </c>
      <c r="I156" s="6">
        <v>22</v>
      </c>
      <c r="J156" s="6" t="s">
        <v>141</v>
      </c>
      <c r="K156" s="6" t="b">
        <v>1</v>
      </c>
    </row>
    <row r="157" spans="1:11" ht="12.75" x14ac:dyDescent="0.2">
      <c r="A157" s="5">
        <v>42862.765407222221</v>
      </c>
      <c r="B157" s="6" t="s">
        <v>63</v>
      </c>
      <c r="C157" s="6" t="s">
        <v>178</v>
      </c>
      <c r="D157" s="6" t="s">
        <v>42</v>
      </c>
      <c r="E157" s="6" t="b">
        <v>1</v>
      </c>
      <c r="F157" s="6" t="s">
        <v>63</v>
      </c>
      <c r="G157" s="6" t="s">
        <v>31</v>
      </c>
      <c r="H157" s="6" t="s">
        <v>8</v>
      </c>
      <c r="I157" s="6">
        <v>22</v>
      </c>
      <c r="J157" s="6" t="s">
        <v>76</v>
      </c>
      <c r="K157" s="6" t="b">
        <v>1</v>
      </c>
    </row>
    <row r="158" spans="1:11" ht="12.75" x14ac:dyDescent="0.2">
      <c r="A158" s="5">
        <v>42861.984081469913</v>
      </c>
      <c r="B158" s="6" t="s">
        <v>4</v>
      </c>
      <c r="C158" s="6" t="s">
        <v>5</v>
      </c>
      <c r="D158" s="6" t="s">
        <v>6</v>
      </c>
      <c r="E158" s="6" t="b">
        <v>0</v>
      </c>
      <c r="F158" s="6" t="s">
        <v>7</v>
      </c>
      <c r="G158" s="6" t="s">
        <v>7</v>
      </c>
      <c r="H158" s="6" t="s">
        <v>8</v>
      </c>
      <c r="I158" s="6">
        <v>22</v>
      </c>
      <c r="J158" s="6" t="s">
        <v>69</v>
      </c>
      <c r="K158" s="6" t="b">
        <v>0</v>
      </c>
    </row>
    <row r="159" spans="1:11" ht="12.75" x14ac:dyDescent="0.2">
      <c r="A159" s="5">
        <v>42862.901151423612</v>
      </c>
      <c r="B159" s="6" t="s">
        <v>4</v>
      </c>
      <c r="C159" s="6" t="s">
        <v>12</v>
      </c>
      <c r="D159" s="6" t="s">
        <v>6</v>
      </c>
      <c r="E159" s="6" t="b">
        <v>0</v>
      </c>
      <c r="F159" s="6" t="s">
        <v>7</v>
      </c>
      <c r="G159" s="6" t="s">
        <v>7</v>
      </c>
      <c r="H159" s="6" t="s">
        <v>13</v>
      </c>
      <c r="I159" s="6">
        <v>22</v>
      </c>
      <c r="J159" s="6" t="s">
        <v>79</v>
      </c>
      <c r="K159" s="6" t="b">
        <v>1</v>
      </c>
    </row>
    <row r="160" spans="1:11" ht="12.75" x14ac:dyDescent="0.2">
      <c r="A160" s="5">
        <v>42860.528796863422</v>
      </c>
      <c r="B160" s="6" t="s">
        <v>32</v>
      </c>
      <c r="C160" s="6" t="s">
        <v>176</v>
      </c>
      <c r="D160" s="6" t="s">
        <v>10</v>
      </c>
      <c r="E160" s="6" t="b">
        <v>1</v>
      </c>
      <c r="F160" s="6" t="s">
        <v>19</v>
      </c>
      <c r="G160" s="6" t="s">
        <v>40</v>
      </c>
      <c r="H160" s="6" t="s">
        <v>8</v>
      </c>
      <c r="I160" s="6">
        <v>22</v>
      </c>
      <c r="J160" s="6" t="s">
        <v>66</v>
      </c>
      <c r="K160" s="6" t="b">
        <v>1</v>
      </c>
    </row>
    <row r="161" spans="1:11" ht="12.75" x14ac:dyDescent="0.2">
      <c r="A161" s="5">
        <v>42863.560258090278</v>
      </c>
      <c r="B161" s="6" t="s">
        <v>4</v>
      </c>
      <c r="C161" s="6" t="s">
        <v>84</v>
      </c>
      <c r="D161" s="6" t="s">
        <v>6</v>
      </c>
      <c r="E161" s="6" t="b">
        <v>0</v>
      </c>
      <c r="F161" s="6" t="s">
        <v>7</v>
      </c>
      <c r="G161" s="6" t="s">
        <v>7</v>
      </c>
      <c r="H161" s="6" t="s">
        <v>13</v>
      </c>
      <c r="I161" s="6">
        <v>22</v>
      </c>
      <c r="J161" s="6" t="s">
        <v>62</v>
      </c>
      <c r="K161" s="6" t="b">
        <v>0</v>
      </c>
    </row>
    <row r="162" spans="1:11" ht="12.75" x14ac:dyDescent="0.2">
      <c r="A162" s="5">
        <v>42857.749036099536</v>
      </c>
      <c r="B162" s="6" t="s">
        <v>4</v>
      </c>
      <c r="C162" s="6" t="s">
        <v>5</v>
      </c>
      <c r="D162" s="6" t="s">
        <v>6</v>
      </c>
      <c r="E162" s="6" t="b">
        <v>0</v>
      </c>
      <c r="F162" s="6" t="s">
        <v>7</v>
      </c>
      <c r="G162" s="6" t="s">
        <v>7</v>
      </c>
      <c r="H162" s="6" t="s">
        <v>8</v>
      </c>
      <c r="I162" s="6">
        <v>22</v>
      </c>
      <c r="J162" s="6" t="s">
        <v>27</v>
      </c>
      <c r="K162" s="6" t="b">
        <v>0</v>
      </c>
    </row>
    <row r="163" spans="1:11" ht="12.75" x14ac:dyDescent="0.2">
      <c r="A163" s="5">
        <v>42858.495936805557</v>
      </c>
      <c r="B163" s="6" t="s">
        <v>9</v>
      </c>
      <c r="C163" s="6" t="s">
        <v>178</v>
      </c>
      <c r="D163" s="6" t="s">
        <v>10</v>
      </c>
      <c r="E163" s="6" t="b">
        <v>1</v>
      </c>
      <c r="F163" s="6" t="s">
        <v>9</v>
      </c>
      <c r="G163" s="6" t="s">
        <v>122</v>
      </c>
      <c r="H163" s="6" t="s">
        <v>8</v>
      </c>
      <c r="I163" s="6">
        <v>22</v>
      </c>
      <c r="J163" s="6" t="s">
        <v>27</v>
      </c>
      <c r="K163" s="6" t="b">
        <v>1</v>
      </c>
    </row>
    <row r="164" spans="1:11" ht="12.75" x14ac:dyDescent="0.2">
      <c r="A164" s="5">
        <v>42863.539909872685</v>
      </c>
      <c r="B164" s="6" t="s">
        <v>26</v>
      </c>
      <c r="C164" s="6" t="s">
        <v>178</v>
      </c>
      <c r="D164" s="6" t="s">
        <v>21</v>
      </c>
      <c r="E164" s="6" t="b">
        <v>1</v>
      </c>
      <c r="F164" s="6" t="s">
        <v>26</v>
      </c>
      <c r="G164" s="6" t="s">
        <v>7</v>
      </c>
      <c r="H164" s="6" t="s">
        <v>8</v>
      </c>
      <c r="I164" s="6">
        <v>22</v>
      </c>
      <c r="J164" s="6" t="s">
        <v>27</v>
      </c>
      <c r="K164" s="6" t="b">
        <v>0</v>
      </c>
    </row>
    <row r="165" spans="1:11" ht="12.75" x14ac:dyDescent="0.2">
      <c r="A165" s="5">
        <v>42863.84444291667</v>
      </c>
      <c r="B165" s="6" t="s">
        <v>4</v>
      </c>
      <c r="C165" s="6" t="s">
        <v>84</v>
      </c>
      <c r="D165" s="6" t="s">
        <v>6</v>
      </c>
      <c r="E165" s="6" t="b">
        <v>0</v>
      </c>
      <c r="F165" s="6" t="s">
        <v>7</v>
      </c>
      <c r="G165" s="6" t="s">
        <v>7</v>
      </c>
      <c r="H165" s="6" t="s">
        <v>13</v>
      </c>
      <c r="I165" s="6">
        <v>22</v>
      </c>
      <c r="J165" s="6" t="s">
        <v>27</v>
      </c>
      <c r="K165" s="6" t="b">
        <v>0</v>
      </c>
    </row>
    <row r="166" spans="1:11" ht="12.75" x14ac:dyDescent="0.2">
      <c r="A166" s="5">
        <v>42858.382729398145</v>
      </c>
      <c r="B166" s="6" t="s">
        <v>9</v>
      </c>
      <c r="C166" s="6" t="s">
        <v>5</v>
      </c>
      <c r="D166" s="6" t="s">
        <v>10</v>
      </c>
      <c r="E166" s="6" t="b">
        <v>1</v>
      </c>
      <c r="F166" s="6" t="s">
        <v>9</v>
      </c>
      <c r="G166" s="6" t="s">
        <v>122</v>
      </c>
      <c r="H166" s="6" t="s">
        <v>8</v>
      </c>
      <c r="I166" s="6">
        <v>22</v>
      </c>
      <c r="J166" s="6" t="s">
        <v>27</v>
      </c>
      <c r="K166" s="6" t="b">
        <v>0</v>
      </c>
    </row>
    <row r="167" spans="1:11" ht="12.75" x14ac:dyDescent="0.2">
      <c r="A167" s="5">
        <v>42863.530718402777</v>
      </c>
      <c r="B167" s="6" t="s">
        <v>30</v>
      </c>
      <c r="C167" s="6" t="s">
        <v>175</v>
      </c>
      <c r="D167" s="6" t="s">
        <v>10</v>
      </c>
      <c r="E167" s="6" t="b">
        <v>1</v>
      </c>
      <c r="F167" s="6" t="s">
        <v>30</v>
      </c>
      <c r="G167" s="6" t="s">
        <v>17</v>
      </c>
      <c r="H167" s="6" t="s">
        <v>8</v>
      </c>
      <c r="I167" s="6">
        <v>23</v>
      </c>
      <c r="J167" s="6" t="s">
        <v>83</v>
      </c>
      <c r="K167" s="6" t="b">
        <v>0</v>
      </c>
    </row>
    <row r="168" spans="1:11" ht="12.75" x14ac:dyDescent="0.2">
      <c r="A168" s="5">
        <v>42860.064086342594</v>
      </c>
      <c r="B168" s="6" t="s">
        <v>63</v>
      </c>
      <c r="C168" s="6" t="s">
        <v>175</v>
      </c>
      <c r="D168" s="6" t="s">
        <v>25</v>
      </c>
      <c r="E168" s="6" t="b">
        <v>1</v>
      </c>
      <c r="F168" s="6" t="s">
        <v>63</v>
      </c>
      <c r="G168" s="6" t="s">
        <v>17</v>
      </c>
      <c r="H168" s="6" t="s">
        <v>8</v>
      </c>
      <c r="I168" s="6">
        <v>23</v>
      </c>
      <c r="J168" s="6" t="s">
        <v>158</v>
      </c>
      <c r="K168" s="6" t="b">
        <v>0</v>
      </c>
    </row>
    <row r="169" spans="1:11" ht="12.75" x14ac:dyDescent="0.2">
      <c r="A169" s="5">
        <v>42863.51519273148</v>
      </c>
      <c r="B169" s="6" t="s">
        <v>4</v>
      </c>
      <c r="C169" s="6" t="s">
        <v>84</v>
      </c>
      <c r="D169" s="6" t="s">
        <v>47</v>
      </c>
      <c r="E169" s="6" t="b">
        <v>0</v>
      </c>
      <c r="F169" s="6" t="s">
        <v>7</v>
      </c>
      <c r="G169" s="6" t="s">
        <v>7</v>
      </c>
      <c r="H169" s="6" t="s">
        <v>13</v>
      </c>
      <c r="I169" s="6">
        <v>23</v>
      </c>
      <c r="J169" s="6" t="s">
        <v>85</v>
      </c>
      <c r="K169" s="6" t="b">
        <v>0</v>
      </c>
    </row>
    <row r="170" spans="1:11" ht="12.75" x14ac:dyDescent="0.2">
      <c r="A170" s="5">
        <v>42862.784267476847</v>
      </c>
      <c r="B170" s="6" t="s">
        <v>108</v>
      </c>
      <c r="C170" s="6" t="s">
        <v>5</v>
      </c>
      <c r="D170" s="6" t="s">
        <v>10</v>
      </c>
      <c r="E170" s="6" t="b">
        <v>1</v>
      </c>
      <c r="F170" s="6" t="s">
        <v>26</v>
      </c>
      <c r="G170" s="6" t="s">
        <v>7</v>
      </c>
      <c r="H170" s="6" t="s">
        <v>8</v>
      </c>
      <c r="I170" s="6">
        <v>23</v>
      </c>
      <c r="J170" s="7" t="s">
        <v>148</v>
      </c>
      <c r="K170" s="6" t="b">
        <v>1</v>
      </c>
    </row>
    <row r="171" spans="1:11" ht="12.75" x14ac:dyDescent="0.2">
      <c r="A171" s="5">
        <v>42862.969924340279</v>
      </c>
      <c r="B171" s="6" t="s">
        <v>82</v>
      </c>
      <c r="C171" s="6" t="s">
        <v>174</v>
      </c>
      <c r="D171" s="6" t="s">
        <v>21</v>
      </c>
      <c r="E171" s="6" t="b">
        <v>1</v>
      </c>
      <c r="F171" s="6" t="s">
        <v>35</v>
      </c>
      <c r="G171" s="6" t="s">
        <v>29</v>
      </c>
      <c r="H171" s="6" t="s">
        <v>8</v>
      </c>
      <c r="I171" s="6">
        <v>23</v>
      </c>
      <c r="J171" s="6" t="s">
        <v>148</v>
      </c>
      <c r="K171" s="6" t="b">
        <v>0</v>
      </c>
    </row>
    <row r="172" spans="1:11" ht="12.75" x14ac:dyDescent="0.2">
      <c r="A172" s="5">
        <v>42860.429063518517</v>
      </c>
      <c r="B172" s="6" t="s">
        <v>55</v>
      </c>
      <c r="C172" s="6" t="s">
        <v>174</v>
      </c>
      <c r="D172" s="6" t="s">
        <v>10</v>
      </c>
      <c r="E172" s="6" t="b">
        <v>1</v>
      </c>
      <c r="F172" s="6" t="s">
        <v>9</v>
      </c>
      <c r="G172" s="6" t="s">
        <v>122</v>
      </c>
      <c r="H172" s="6" t="s">
        <v>8</v>
      </c>
      <c r="I172" s="6">
        <v>23</v>
      </c>
      <c r="J172" s="6" t="s">
        <v>149</v>
      </c>
      <c r="K172" s="6" t="b">
        <v>0</v>
      </c>
    </row>
    <row r="173" spans="1:11" ht="12.75" x14ac:dyDescent="0.2">
      <c r="A173" s="5">
        <v>42857.77071592593</v>
      </c>
      <c r="B173" s="6" t="s">
        <v>24</v>
      </c>
      <c r="C173" s="6" t="s">
        <v>176</v>
      </c>
      <c r="D173" s="6" t="s">
        <v>25</v>
      </c>
      <c r="E173" s="6" t="b">
        <v>0</v>
      </c>
      <c r="F173" s="6" t="s">
        <v>7</v>
      </c>
      <c r="G173" s="6" t="s">
        <v>7</v>
      </c>
      <c r="H173" s="6" t="s">
        <v>13</v>
      </c>
      <c r="I173" s="6">
        <v>23</v>
      </c>
      <c r="J173" s="6" t="s">
        <v>141</v>
      </c>
      <c r="K173" s="6" t="b">
        <v>0</v>
      </c>
    </row>
    <row r="174" spans="1:11" ht="12.75" x14ac:dyDescent="0.2">
      <c r="A174" s="5">
        <v>42857.895126319447</v>
      </c>
      <c r="B174" s="6" t="s">
        <v>33</v>
      </c>
      <c r="C174" s="6" t="s">
        <v>178</v>
      </c>
      <c r="D174" s="6" t="s">
        <v>21</v>
      </c>
      <c r="E174" s="6" t="b">
        <v>1</v>
      </c>
      <c r="F174" s="6" t="s">
        <v>33</v>
      </c>
      <c r="G174" s="6" t="s">
        <v>120</v>
      </c>
      <c r="H174" s="6" t="s">
        <v>8</v>
      </c>
      <c r="I174" s="6">
        <v>23</v>
      </c>
      <c r="J174" s="6" t="s">
        <v>141</v>
      </c>
      <c r="K174" s="6" t="b">
        <v>1</v>
      </c>
    </row>
    <row r="175" spans="1:11" ht="12.75" x14ac:dyDescent="0.2">
      <c r="A175" s="5">
        <v>42857.919025844909</v>
      </c>
      <c r="B175" s="6" t="s">
        <v>4</v>
      </c>
      <c r="C175" s="6" t="s">
        <v>5</v>
      </c>
      <c r="D175" s="6" t="s">
        <v>6</v>
      </c>
      <c r="E175" s="6" t="b">
        <v>0</v>
      </c>
      <c r="F175" s="6" t="s">
        <v>7</v>
      </c>
      <c r="G175" s="6" t="s">
        <v>7</v>
      </c>
      <c r="H175" s="6" t="s">
        <v>8</v>
      </c>
      <c r="I175" s="6">
        <v>23</v>
      </c>
      <c r="J175" s="6" t="s">
        <v>141</v>
      </c>
      <c r="K175" s="6" t="b">
        <v>0</v>
      </c>
    </row>
    <row r="176" spans="1:11" ht="12.75" x14ac:dyDescent="0.2">
      <c r="A176" s="5">
        <v>42858.928517071763</v>
      </c>
      <c r="B176" s="6" t="s">
        <v>4</v>
      </c>
      <c r="C176" s="6" t="s">
        <v>5</v>
      </c>
      <c r="D176" s="6" t="s">
        <v>6</v>
      </c>
      <c r="E176" s="6" t="b">
        <v>0</v>
      </c>
      <c r="F176" s="6" t="s">
        <v>7</v>
      </c>
      <c r="G176" s="6" t="s">
        <v>7</v>
      </c>
      <c r="H176" s="6" t="s">
        <v>8</v>
      </c>
      <c r="I176" s="6">
        <v>23</v>
      </c>
      <c r="J176" s="6" t="s">
        <v>141</v>
      </c>
      <c r="K176" s="6" t="b">
        <v>0</v>
      </c>
    </row>
    <row r="177" spans="1:11" ht="12.75" x14ac:dyDescent="0.2">
      <c r="A177" s="5">
        <v>42862.928726840277</v>
      </c>
      <c r="B177" s="6" t="s">
        <v>45</v>
      </c>
      <c r="C177" s="6" t="s">
        <v>181</v>
      </c>
      <c r="D177" s="6" t="s">
        <v>10</v>
      </c>
      <c r="E177" s="6" t="b">
        <v>1</v>
      </c>
      <c r="F177" s="6" t="s">
        <v>45</v>
      </c>
      <c r="G177" s="6" t="s">
        <v>7</v>
      </c>
      <c r="H177" s="6" t="s">
        <v>8</v>
      </c>
      <c r="I177" s="6">
        <v>23</v>
      </c>
      <c r="J177" s="6" t="s">
        <v>76</v>
      </c>
      <c r="K177" s="6" t="b">
        <v>0</v>
      </c>
    </row>
    <row r="178" spans="1:11" ht="12.75" x14ac:dyDescent="0.2">
      <c r="A178" s="5">
        <v>42862.76987851852</v>
      </c>
      <c r="B178" s="6" t="s">
        <v>4</v>
      </c>
      <c r="C178" s="6" t="s">
        <v>5</v>
      </c>
      <c r="D178" s="6" t="s">
        <v>6</v>
      </c>
      <c r="E178" s="6" t="b">
        <v>0</v>
      </c>
      <c r="F178" s="6" t="s">
        <v>7</v>
      </c>
      <c r="G178" s="6" t="s">
        <v>7</v>
      </c>
      <c r="H178" s="6" t="s">
        <v>8</v>
      </c>
      <c r="I178" s="6">
        <v>23</v>
      </c>
      <c r="J178" s="6" t="s">
        <v>69</v>
      </c>
      <c r="K178" s="6" t="b">
        <v>0</v>
      </c>
    </row>
    <row r="179" spans="1:11" ht="12.75" x14ac:dyDescent="0.2">
      <c r="A179" s="5">
        <v>42862.772325763886</v>
      </c>
      <c r="B179" s="6" t="s">
        <v>4</v>
      </c>
      <c r="C179" s="6" t="s">
        <v>176</v>
      </c>
      <c r="D179" s="6" t="s">
        <v>10</v>
      </c>
      <c r="E179" s="6" t="b">
        <v>1</v>
      </c>
      <c r="F179" s="6" t="s">
        <v>75</v>
      </c>
      <c r="G179" s="6" t="s">
        <v>7</v>
      </c>
      <c r="H179" s="6" t="s">
        <v>8</v>
      </c>
      <c r="I179" s="6">
        <v>23</v>
      </c>
      <c r="J179" s="6" t="s">
        <v>69</v>
      </c>
      <c r="K179" s="6" t="b">
        <v>0</v>
      </c>
    </row>
    <row r="180" spans="1:11" ht="12.75" x14ac:dyDescent="0.2">
      <c r="A180" s="5">
        <v>42863.436979363425</v>
      </c>
      <c r="B180" s="6" t="s">
        <v>9</v>
      </c>
      <c r="C180" s="6" t="s">
        <v>176</v>
      </c>
      <c r="D180" s="6" t="s">
        <v>21</v>
      </c>
      <c r="E180" s="6" t="b">
        <v>1</v>
      </c>
      <c r="F180" s="6" t="s">
        <v>9</v>
      </c>
      <c r="G180" s="6" t="s">
        <v>11</v>
      </c>
      <c r="H180" s="6" t="s">
        <v>8</v>
      </c>
      <c r="I180" s="6">
        <v>23</v>
      </c>
      <c r="J180" s="6" t="s">
        <v>146</v>
      </c>
      <c r="K180" s="6" t="b">
        <v>1</v>
      </c>
    </row>
    <row r="181" spans="1:11" ht="12.75" x14ac:dyDescent="0.2">
      <c r="A181" s="5">
        <v>42859.847680775463</v>
      </c>
      <c r="B181" s="6" t="s">
        <v>4</v>
      </c>
      <c r="C181" s="6" t="s">
        <v>5</v>
      </c>
      <c r="D181" s="6" t="s">
        <v>6</v>
      </c>
      <c r="E181" s="6" t="b">
        <v>0</v>
      </c>
      <c r="F181" s="6" t="s">
        <v>7</v>
      </c>
      <c r="G181" s="6" t="s">
        <v>7</v>
      </c>
      <c r="H181" s="6" t="s">
        <v>13</v>
      </c>
      <c r="I181" s="6">
        <v>23</v>
      </c>
      <c r="J181" s="6" t="s">
        <v>56</v>
      </c>
      <c r="K181" s="6" t="b">
        <v>0</v>
      </c>
    </row>
    <row r="182" spans="1:11" ht="12.75" x14ac:dyDescent="0.2">
      <c r="A182" s="5">
        <v>42862.803635833334</v>
      </c>
      <c r="B182" s="6" t="s">
        <v>30</v>
      </c>
      <c r="C182" s="6" t="s">
        <v>174</v>
      </c>
      <c r="D182" s="6" t="s">
        <v>10</v>
      </c>
      <c r="E182" s="6" t="b">
        <v>1</v>
      </c>
      <c r="F182" s="6" t="s">
        <v>30</v>
      </c>
      <c r="G182" s="6" t="s">
        <v>34</v>
      </c>
      <c r="H182" s="6" t="s">
        <v>8</v>
      </c>
      <c r="I182" s="6">
        <v>23</v>
      </c>
      <c r="J182" s="6" t="s">
        <v>27</v>
      </c>
      <c r="K182" s="6" t="b">
        <v>0</v>
      </c>
    </row>
    <row r="183" spans="1:11" ht="12.75" x14ac:dyDescent="0.2">
      <c r="A183" s="5">
        <v>42861.616432291667</v>
      </c>
      <c r="B183" s="6" t="s">
        <v>30</v>
      </c>
      <c r="C183" s="6" t="s">
        <v>178</v>
      </c>
      <c r="D183" s="6" t="s">
        <v>21</v>
      </c>
      <c r="E183" s="6" t="b">
        <v>1</v>
      </c>
      <c r="F183" s="6" t="s">
        <v>30</v>
      </c>
      <c r="G183" s="6" t="s">
        <v>49</v>
      </c>
      <c r="H183" s="6" t="s">
        <v>8</v>
      </c>
      <c r="I183" s="6">
        <v>24</v>
      </c>
      <c r="J183" s="6" t="s">
        <v>158</v>
      </c>
      <c r="K183" s="6" t="b">
        <v>1</v>
      </c>
    </row>
    <row r="184" spans="1:11" ht="12.75" x14ac:dyDescent="0.2">
      <c r="A184" s="5">
        <v>42859.640285659727</v>
      </c>
      <c r="B184" s="6" t="s">
        <v>4</v>
      </c>
      <c r="C184" s="6" t="s">
        <v>12</v>
      </c>
      <c r="D184" s="6" t="s">
        <v>6</v>
      </c>
      <c r="E184" s="6" t="b">
        <v>0</v>
      </c>
      <c r="F184" s="6" t="s">
        <v>7</v>
      </c>
      <c r="G184" s="6" t="s">
        <v>7</v>
      </c>
      <c r="H184" s="6" t="s">
        <v>13</v>
      </c>
      <c r="I184" s="6">
        <v>24</v>
      </c>
      <c r="J184" s="6" t="s">
        <v>149</v>
      </c>
      <c r="K184" s="6" t="b">
        <v>0</v>
      </c>
    </row>
    <row r="185" spans="1:11" ht="12.75" x14ac:dyDescent="0.2">
      <c r="A185" s="5">
        <v>42857.787936238426</v>
      </c>
      <c r="B185" s="6" t="s">
        <v>26</v>
      </c>
      <c r="C185" s="6" t="s">
        <v>174</v>
      </c>
      <c r="D185" s="6" t="s">
        <v>10</v>
      </c>
      <c r="E185" s="6" t="b">
        <v>1</v>
      </c>
      <c r="F185" s="6" t="s">
        <v>26</v>
      </c>
      <c r="G185" s="6" t="s">
        <v>7</v>
      </c>
      <c r="H185" s="6" t="s">
        <v>8</v>
      </c>
      <c r="I185" s="6">
        <v>24</v>
      </c>
      <c r="J185" s="6" t="s">
        <v>141</v>
      </c>
      <c r="K185" s="6" t="b">
        <v>1</v>
      </c>
    </row>
    <row r="186" spans="1:11" ht="12.75" x14ac:dyDescent="0.2">
      <c r="A186" s="5">
        <v>42857.82448844907</v>
      </c>
      <c r="B186" s="6" t="s">
        <v>9</v>
      </c>
      <c r="C186" s="6" t="s">
        <v>178</v>
      </c>
      <c r="D186" s="6" t="s">
        <v>10</v>
      </c>
      <c r="E186" s="6" t="b">
        <v>1</v>
      </c>
      <c r="F186" s="6" t="s">
        <v>9</v>
      </c>
      <c r="G186" s="6" t="s">
        <v>122</v>
      </c>
      <c r="H186" s="6" t="s">
        <v>8</v>
      </c>
      <c r="I186" s="6">
        <v>24</v>
      </c>
      <c r="J186" s="6" t="s">
        <v>141</v>
      </c>
      <c r="K186" s="6" t="b">
        <v>1</v>
      </c>
    </row>
    <row r="187" spans="1:11" ht="12.75" x14ac:dyDescent="0.2">
      <c r="A187" s="5">
        <v>42857.872805462961</v>
      </c>
      <c r="B187" s="6" t="s">
        <v>33</v>
      </c>
      <c r="C187" s="6" t="s">
        <v>174</v>
      </c>
      <c r="D187" s="6" t="s">
        <v>42</v>
      </c>
      <c r="E187" s="6" t="b">
        <v>1</v>
      </c>
      <c r="F187" s="6" t="s">
        <v>33</v>
      </c>
      <c r="G187" s="6" t="s">
        <v>120</v>
      </c>
      <c r="H187" s="6" t="s">
        <v>8</v>
      </c>
      <c r="I187" s="6">
        <v>24</v>
      </c>
      <c r="J187" s="6" t="s">
        <v>141</v>
      </c>
      <c r="K187" s="6" t="b">
        <v>0</v>
      </c>
    </row>
    <row r="188" spans="1:11" ht="12.75" x14ac:dyDescent="0.2">
      <c r="A188" s="5">
        <v>42859.8051609838</v>
      </c>
      <c r="B188" s="6" t="s">
        <v>33</v>
      </c>
      <c r="C188" s="6" t="s">
        <v>175</v>
      </c>
      <c r="D188" s="6" t="s">
        <v>10</v>
      </c>
      <c r="E188" s="6" t="b">
        <v>1</v>
      </c>
      <c r="F188" s="6" t="s">
        <v>33</v>
      </c>
      <c r="G188" s="6" t="s">
        <v>120</v>
      </c>
      <c r="H188" s="6" t="s">
        <v>8</v>
      </c>
      <c r="I188" s="6">
        <v>24</v>
      </c>
      <c r="J188" s="6" t="s">
        <v>141</v>
      </c>
      <c r="K188" s="6" t="b">
        <v>0</v>
      </c>
    </row>
    <row r="189" spans="1:11" ht="12.75" x14ac:dyDescent="0.2">
      <c r="A189" s="5">
        <v>42859.850138715279</v>
      </c>
      <c r="B189" s="6" t="s">
        <v>19</v>
      </c>
      <c r="C189" s="6" t="s">
        <v>174</v>
      </c>
      <c r="D189" s="6" t="s">
        <v>10</v>
      </c>
      <c r="E189" s="6" t="b">
        <v>1</v>
      </c>
      <c r="F189" s="6" t="s">
        <v>19</v>
      </c>
      <c r="G189" s="6" t="s">
        <v>124</v>
      </c>
      <c r="H189" s="6" t="s">
        <v>8</v>
      </c>
      <c r="I189" s="6">
        <v>24</v>
      </c>
      <c r="J189" s="6" t="s">
        <v>141</v>
      </c>
      <c r="K189" s="6" t="b">
        <v>0</v>
      </c>
    </row>
    <row r="190" spans="1:11" ht="12.75" x14ac:dyDescent="0.2">
      <c r="A190" s="5">
        <v>42860.453316041661</v>
      </c>
      <c r="B190" s="6" t="s">
        <v>9</v>
      </c>
      <c r="C190" s="6" t="s">
        <v>178</v>
      </c>
      <c r="D190" s="6" t="s">
        <v>21</v>
      </c>
      <c r="E190" s="6" t="b">
        <v>1</v>
      </c>
      <c r="F190" s="6" t="s">
        <v>9</v>
      </c>
      <c r="G190" s="6" t="s">
        <v>43</v>
      </c>
      <c r="H190" s="6" t="s">
        <v>8</v>
      </c>
      <c r="I190" s="6">
        <v>24</v>
      </c>
      <c r="J190" s="6" t="s">
        <v>56</v>
      </c>
      <c r="K190" s="6" t="b">
        <v>1</v>
      </c>
    </row>
    <row r="191" spans="1:11" ht="12.75" x14ac:dyDescent="0.2">
      <c r="A191" s="5">
        <v>42857.795329780092</v>
      </c>
      <c r="B191" s="6" t="s">
        <v>4</v>
      </c>
      <c r="C191" s="6" t="s">
        <v>178</v>
      </c>
      <c r="D191" s="6" t="s">
        <v>10</v>
      </c>
      <c r="E191" s="6" t="b">
        <v>0</v>
      </c>
      <c r="F191" s="6" t="s">
        <v>30</v>
      </c>
      <c r="G191" s="6" t="s">
        <v>17</v>
      </c>
      <c r="H191" s="6" t="s">
        <v>8</v>
      </c>
      <c r="I191" s="6">
        <v>25</v>
      </c>
      <c r="J191" s="6" t="s">
        <v>141</v>
      </c>
      <c r="K191" s="6" t="b">
        <v>0</v>
      </c>
    </row>
    <row r="192" spans="1:11" ht="12.75" x14ac:dyDescent="0.2">
      <c r="A192" s="5">
        <v>42857.826633935183</v>
      </c>
      <c r="B192" s="6" t="s">
        <v>38</v>
      </c>
      <c r="C192" s="6" t="s">
        <v>178</v>
      </c>
      <c r="D192" s="6" t="s">
        <v>21</v>
      </c>
      <c r="E192" s="6" t="b">
        <v>1</v>
      </c>
      <c r="F192" s="6" t="s">
        <v>38</v>
      </c>
      <c r="G192" s="6" t="s">
        <v>7</v>
      </c>
      <c r="H192" s="6" t="s">
        <v>8</v>
      </c>
      <c r="I192" s="6">
        <v>25</v>
      </c>
      <c r="J192" s="6" t="s">
        <v>141</v>
      </c>
      <c r="K192" s="6" t="b">
        <v>1</v>
      </c>
    </row>
    <row r="193" spans="1:11" ht="12.75" x14ac:dyDescent="0.2">
      <c r="A193" s="5">
        <v>42861.934025347218</v>
      </c>
      <c r="B193" s="6" t="s">
        <v>4</v>
      </c>
      <c r="C193" s="6" t="s">
        <v>12</v>
      </c>
      <c r="D193" s="6" t="s">
        <v>6</v>
      </c>
      <c r="E193" s="6" t="b">
        <v>1</v>
      </c>
      <c r="F193" s="6" t="s">
        <v>7</v>
      </c>
      <c r="G193" s="6" t="s">
        <v>7</v>
      </c>
      <c r="H193" s="6" t="s">
        <v>13</v>
      </c>
      <c r="I193" s="6">
        <v>25</v>
      </c>
      <c r="J193" s="6" t="s">
        <v>27</v>
      </c>
      <c r="K193" s="6" t="b">
        <v>0</v>
      </c>
    </row>
    <row r="194" spans="1:11" ht="12.75" x14ac:dyDescent="0.2">
      <c r="A194" s="5">
        <v>42858.623226249998</v>
      </c>
      <c r="B194" s="6" t="s">
        <v>54</v>
      </c>
      <c r="C194" s="6" t="s">
        <v>178</v>
      </c>
      <c r="D194" s="6" t="s">
        <v>42</v>
      </c>
      <c r="E194" s="6" t="b">
        <v>1</v>
      </c>
      <c r="F194" s="6" t="s">
        <v>32</v>
      </c>
      <c r="G194" s="6" t="s">
        <v>122</v>
      </c>
      <c r="H194" s="6" t="s">
        <v>8</v>
      </c>
      <c r="I194" s="6">
        <v>25</v>
      </c>
      <c r="J194" s="6" t="s">
        <v>27</v>
      </c>
      <c r="K194" s="6" t="b">
        <v>1</v>
      </c>
    </row>
    <row r="195" spans="1:11" ht="12.75" x14ac:dyDescent="0.2">
      <c r="A195" s="5">
        <v>42857.961818032403</v>
      </c>
      <c r="B195" s="6" t="s">
        <v>4</v>
      </c>
      <c r="C195" s="6" t="s">
        <v>176</v>
      </c>
      <c r="D195" s="6" t="s">
        <v>47</v>
      </c>
      <c r="E195" s="6" t="b">
        <v>1</v>
      </c>
      <c r="F195" s="6" t="s">
        <v>48</v>
      </c>
      <c r="G195" s="6" t="s">
        <v>17</v>
      </c>
      <c r="H195" s="6" t="s">
        <v>8</v>
      </c>
      <c r="I195" s="6">
        <v>26</v>
      </c>
      <c r="J195" s="6" t="s">
        <v>141</v>
      </c>
      <c r="K195" s="6" t="b">
        <v>0</v>
      </c>
    </row>
    <row r="196" spans="1:11" ht="12.75" x14ac:dyDescent="0.2">
      <c r="A196" s="5">
        <v>42858.04214424768</v>
      </c>
      <c r="B196" s="6" t="s">
        <v>9</v>
      </c>
      <c r="C196" s="6" t="s">
        <v>176</v>
      </c>
      <c r="D196" s="6" t="s">
        <v>41</v>
      </c>
      <c r="E196" s="6" t="b">
        <v>1</v>
      </c>
      <c r="F196" s="6" t="s">
        <v>9</v>
      </c>
      <c r="G196" s="6" t="s">
        <v>122</v>
      </c>
      <c r="H196" s="6" t="s">
        <v>8</v>
      </c>
      <c r="I196" s="6">
        <v>26</v>
      </c>
      <c r="J196" s="6" t="s">
        <v>56</v>
      </c>
      <c r="K196" s="6" t="b">
        <v>1</v>
      </c>
    </row>
    <row r="197" spans="1:11" ht="12.75" x14ac:dyDescent="0.2">
      <c r="A197" s="5">
        <v>42859.565661168977</v>
      </c>
      <c r="B197" s="6" t="s">
        <v>9</v>
      </c>
      <c r="C197" s="6" t="s">
        <v>176</v>
      </c>
      <c r="D197" s="6" t="s">
        <v>10</v>
      </c>
      <c r="E197" s="6" t="b">
        <v>1</v>
      </c>
      <c r="F197" s="6" t="s">
        <v>9</v>
      </c>
      <c r="G197" s="6" t="s">
        <v>43</v>
      </c>
      <c r="H197" s="6" t="s">
        <v>13</v>
      </c>
      <c r="I197" s="6">
        <v>28</v>
      </c>
      <c r="J197" s="6" t="s">
        <v>56</v>
      </c>
      <c r="K197" s="6" t="b">
        <v>0</v>
      </c>
    </row>
    <row r="198" spans="1:11" ht="12.75" x14ac:dyDescent="0.2">
      <c r="A198" s="5">
        <v>42858.421133310185</v>
      </c>
      <c r="B198" s="6" t="s">
        <v>75</v>
      </c>
      <c r="C198" s="6" t="s">
        <v>5</v>
      </c>
      <c r="D198" s="6" t="s">
        <v>6</v>
      </c>
      <c r="E198" s="6" t="b">
        <v>0</v>
      </c>
      <c r="F198" s="6" t="s">
        <v>7</v>
      </c>
      <c r="G198" s="6" t="s">
        <v>7</v>
      </c>
      <c r="H198" s="6" t="s">
        <v>8</v>
      </c>
      <c r="I198" s="6">
        <v>28</v>
      </c>
      <c r="J198" s="6" t="s">
        <v>27</v>
      </c>
      <c r="K198" s="6" t="b">
        <v>0</v>
      </c>
    </row>
    <row r="199" spans="1:11" ht="12.75" x14ac:dyDescent="0.2">
      <c r="A199" s="5">
        <v>42862.80465229167</v>
      </c>
      <c r="B199" s="6" t="s">
        <v>110</v>
      </c>
      <c r="C199" s="6" t="s">
        <v>174</v>
      </c>
      <c r="D199" s="6" t="s">
        <v>47</v>
      </c>
      <c r="E199" s="6" t="b">
        <v>1</v>
      </c>
      <c r="F199" s="6" t="s">
        <v>30</v>
      </c>
      <c r="G199" s="6" t="s">
        <v>17</v>
      </c>
      <c r="H199" s="6" t="s">
        <v>13</v>
      </c>
      <c r="I199" s="6">
        <v>28</v>
      </c>
      <c r="J199" s="6" t="s">
        <v>27</v>
      </c>
      <c r="K199" s="6" t="b">
        <v>0</v>
      </c>
    </row>
    <row r="200" spans="1:11" ht="12.75" x14ac:dyDescent="0.2">
      <c r="A200" s="8">
        <v>42859.721782685185</v>
      </c>
      <c r="B200" s="9" t="s">
        <v>4</v>
      </c>
      <c r="C200" s="9" t="s">
        <v>12</v>
      </c>
      <c r="D200" s="9" t="s">
        <v>6</v>
      </c>
      <c r="E200" s="6" t="b">
        <v>0</v>
      </c>
      <c r="F200" s="9" t="s">
        <v>7</v>
      </c>
      <c r="G200" s="9" t="s">
        <v>7</v>
      </c>
      <c r="H200" s="9" t="s">
        <v>13</v>
      </c>
      <c r="I200" s="9">
        <v>37</v>
      </c>
      <c r="J200" s="9" t="s">
        <v>156</v>
      </c>
      <c r="K200" s="9" t="b">
        <v>0</v>
      </c>
    </row>
  </sheetData>
  <sortState ref="A2:J200">
    <sortCondition ref="I2:I200"/>
  </sortState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B46D0DC2-BE22-44AA-A53D-0D1C0DF598FE}">
  <ds:schemaRefs/>
</ds:datastoreItem>
</file>

<file path=customXml/itemProps2.xml><?xml version="1.0" encoding="utf-8"?>
<ds:datastoreItem xmlns:ds="http://schemas.openxmlformats.org/officeDocument/2006/customXml" ds:itemID="{5CE8F423-F57F-4326-94F4-3A36E807236D}">
  <ds:schemaRefs/>
</ds:datastoreItem>
</file>

<file path=customXml/itemProps3.xml><?xml version="1.0" encoding="utf-8"?>
<ds:datastoreItem xmlns:ds="http://schemas.openxmlformats.org/officeDocument/2006/customXml" ds:itemID="{A5163809-8584-4594-819F-FF99A6F09C1F}">
  <ds:schemaRefs/>
</ds:datastoreItem>
</file>

<file path=customXml/itemProps4.xml><?xml version="1.0" encoding="utf-8"?>
<ds:datastoreItem xmlns:ds="http://schemas.openxmlformats.org/officeDocument/2006/customXml" ds:itemID="{D1146964-AC9D-4194-AE9C-2E5F609DD8D8}">
  <ds:schemaRefs/>
</ds:datastoreItem>
</file>

<file path=customXml/itemProps5.xml><?xml version="1.0" encoding="utf-8"?>
<ds:datastoreItem xmlns:ds="http://schemas.openxmlformats.org/officeDocument/2006/customXml" ds:itemID="{450BC381-D92B-4186-9A1B-4BE186533577}">
  <ds:schemaRefs/>
</ds:datastoreItem>
</file>

<file path=customXml/itemProps6.xml><?xml version="1.0" encoding="utf-8"?>
<ds:datastoreItem xmlns:ds="http://schemas.openxmlformats.org/officeDocument/2006/customXml" ds:itemID="{305EE7A4-D3E9-4638-9CA9-ED8CEAFA4869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E04D090F-027A-4815-9673-DFF126AB37CF}">
  <ds:schemaRefs/>
</ds:datastoreItem>
</file>

<file path=customXml/itemProps8.xml><?xml version="1.0" encoding="utf-8"?>
<ds:datastoreItem xmlns:ds="http://schemas.openxmlformats.org/officeDocument/2006/customXml" ds:itemID="{9D633E66-8DA3-4433-8D72-2DE26948B0B3}">
  <ds:schemaRefs/>
</ds:datastoreItem>
</file>

<file path=customXml/itemProps9.xml><?xml version="1.0" encoding="utf-8"?>
<ds:datastoreItem xmlns:ds="http://schemas.openxmlformats.org/officeDocument/2006/customXml" ds:itemID="{9F416D2C-AD47-42D5-A598-E79C98F21630}">
  <ds:schemaRefs/>
</ds:datastoreItem>
</file>

<file path=customXml/itemProps10.xml><?xml version="1.0" encoding="utf-8"?>
<ds:datastoreItem xmlns:ds="http://schemas.openxmlformats.org/officeDocument/2006/customXml" ds:itemID="{4D8FF976-0126-499E-A785-D38E10C755BA}">
  <ds:schemaRefs/>
</ds:datastoreItem>
</file>

<file path=customXml/itemProps11.xml><?xml version="1.0" encoding="utf-8"?>
<ds:datastoreItem xmlns:ds="http://schemas.openxmlformats.org/officeDocument/2006/customXml" ds:itemID="{BA7CE466-4846-47A6-812F-C94A72652B0B}">
  <ds:schemaRefs/>
</ds:datastoreItem>
</file>

<file path=customXml/itemProps12.xml><?xml version="1.0" encoding="utf-8"?>
<ds:datastoreItem xmlns:ds="http://schemas.openxmlformats.org/officeDocument/2006/customXml" ds:itemID="{6BE9E733-B2AB-4F93-9747-5EBD2ECA4D19}">
  <ds:schemaRefs/>
</ds:datastoreItem>
</file>

<file path=customXml/itemProps13.xml><?xml version="1.0" encoding="utf-8"?>
<ds:datastoreItem xmlns:ds="http://schemas.openxmlformats.org/officeDocument/2006/customXml" ds:itemID="{C482852A-4A6B-493B-9929-805B722E6933}">
  <ds:schemaRefs/>
</ds:datastoreItem>
</file>

<file path=customXml/itemProps14.xml><?xml version="1.0" encoding="utf-8"?>
<ds:datastoreItem xmlns:ds="http://schemas.openxmlformats.org/officeDocument/2006/customXml" ds:itemID="{1EAFAFE2-208B-43F5-8808-A754BD9EA603}">
  <ds:schemaRefs/>
</ds:datastoreItem>
</file>

<file path=customXml/itemProps15.xml><?xml version="1.0" encoding="utf-8"?>
<ds:datastoreItem xmlns:ds="http://schemas.openxmlformats.org/officeDocument/2006/customXml" ds:itemID="{0B1D6B4A-9AEF-4DEF-932A-CDD13EC7AD7E}">
  <ds:schemaRefs/>
</ds:datastoreItem>
</file>

<file path=customXml/itemProps16.xml><?xml version="1.0" encoding="utf-8"?>
<ds:datastoreItem xmlns:ds="http://schemas.openxmlformats.org/officeDocument/2006/customXml" ds:itemID="{62AFD071-F5D0-465D-9FE9-744EB4A97C12}">
  <ds:schemaRefs/>
</ds:datastoreItem>
</file>

<file path=customXml/itemProps17.xml><?xml version="1.0" encoding="utf-8"?>
<ds:datastoreItem xmlns:ds="http://schemas.openxmlformats.org/officeDocument/2006/customXml" ds:itemID="{F8F708BD-A119-4D06-9D21-0CEEAD5C6077}">
  <ds:schemaRefs/>
</ds:datastoreItem>
</file>

<file path=customXml/itemProps18.xml><?xml version="1.0" encoding="utf-8"?>
<ds:datastoreItem xmlns:ds="http://schemas.openxmlformats.org/officeDocument/2006/customXml" ds:itemID="{1642C1D8-54F0-48CD-8A61-7C70B1484A9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14</vt:i4>
      </vt:variant>
    </vt:vector>
  </HeadingPairs>
  <TitlesOfParts>
    <vt:vector size="14" baseType="lpstr">
      <vt:lpstr>przech_odp_druzyna</vt:lpstr>
      <vt:lpstr>przech_odp_zainteresowanie_turn</vt:lpstr>
      <vt:lpstr>przech_odp_zainteresowanie_espo</vt:lpstr>
      <vt:lpstr>przech_odp_gry_turniejowe</vt:lpstr>
      <vt:lpstr>przech_odp_gry_regularne</vt:lpstr>
      <vt:lpstr>odpowiedzi</vt:lpstr>
      <vt:lpstr>wydzial</vt:lpstr>
      <vt:lpstr>plec</vt:lpstr>
      <vt:lpstr>druzyny</vt:lpstr>
      <vt:lpstr>zainteresowanie_turniej</vt:lpstr>
      <vt:lpstr>zainteresowanie_esport</vt:lpstr>
      <vt:lpstr>gry_turniejowe</vt:lpstr>
      <vt:lpstr>gry_regularne</vt:lpstr>
      <vt:lpstr>Wyniki ankiety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Maurycy Błaszczak</dc:creator>
  <cp:lastModifiedBy>Maurycy Błaszczak</cp:lastModifiedBy>
  <dcterms:created xsi:type="dcterms:W3CDTF">2018-08-20T11:48:52Z</dcterms:created>
  <dcterms:modified xsi:type="dcterms:W3CDTF">2018-08-23T15:55:14Z</dcterms:modified>
</cp:coreProperties>
</file>