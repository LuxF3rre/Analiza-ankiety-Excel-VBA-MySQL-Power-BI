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Analiza ankiety\"/>
    </mc:Choice>
  </mc:AlternateContent>
  <xr:revisionPtr revIDLastSave="0" documentId="13_ncr:1_{B9BEBC68-7254-4351-A0F9-1FF9B1C3AAD1}" xr6:coauthVersionLast="34" xr6:coauthVersionMax="34" xr10:uidLastSave="{00000000-0000-0000-0000-000000000000}"/>
  <bookViews>
    <workbookView xWindow="0" yWindow="7650" windowWidth="25200" windowHeight="10995" firstSheet="5" activeTab="5" xr2:uid="{00000000-000D-0000-FFFF-FFFF00000000}"/>
  </bookViews>
  <sheets>
    <sheet name="przech_odp_druzyna" sheetId="24" r:id="rId1"/>
    <sheet name="przech_odp_gry_turniejowe" sheetId="23" r:id="rId2"/>
    <sheet name="przech_odp_zainteresowanie_turn" sheetId="22" r:id="rId3"/>
    <sheet name="przech_odp_zainteresowanie_espo" sheetId="21" r:id="rId4"/>
    <sheet name="przech_odp_gry_regularne" sheetId="20" r:id="rId5"/>
    <sheet name="odpowiedzi" sheetId="19" r:id="rId6"/>
    <sheet name="wydzial" sheetId="15" r:id="rId7"/>
    <sheet name="plec" sheetId="14" r:id="rId8"/>
    <sheet name="druzyny" sheetId="13" r:id="rId9"/>
    <sheet name="gry_turniejowe" sheetId="18" r:id="rId10"/>
    <sheet name="gry_regularne" sheetId="17" r:id="rId11"/>
    <sheet name="zainteresowanie_turniej" sheetId="11" r:id="rId12"/>
    <sheet name="zainteresowanie_esport" sheetId="10" r:id="rId13"/>
    <sheet name="Wyniki ankiety" sheetId="1" r:id="rId14"/>
  </sheets>
  <definedNames>
    <definedName name="DaneZewnętrzne_10" localSheetId="5" hidden="1">odpowiedzi!#REF!</definedName>
    <definedName name="DaneZewnętrzne_10" localSheetId="4" hidden="1">przech_odp_gry_regularne!$A$1:$D$281</definedName>
    <definedName name="DaneZewnętrzne_11" localSheetId="3" hidden="1">przech_odp_zainteresowanie_espo!$A$1:$D$247</definedName>
    <definedName name="DaneZewnętrzne_12" localSheetId="2" hidden="1">przech_odp_zainteresowanie_turn!$A$1:$D$302</definedName>
    <definedName name="DaneZewnętrzne_13" localSheetId="1" hidden="1">przech_odp_gry_turniejowe!$A$1:$D$261</definedName>
    <definedName name="DaneZewnętrzne_14" localSheetId="0" hidden="1">przech_odp_druzyna!$A$1:$D$232</definedName>
    <definedName name="DaneZewnętrzne_3" localSheetId="12" hidden="1">zainteresowanie_esport!$A$1:$B$6</definedName>
    <definedName name="DaneZewnętrzne_4" localSheetId="11" hidden="1">zainteresowanie_turniej!$A$1:$B$5</definedName>
    <definedName name="DaneZewnętrzne_6" localSheetId="8" hidden="1">druzyny!$A$1:$B$27</definedName>
    <definedName name="DaneZewnętrzne_6" localSheetId="10" hidden="1">gry_regularne!$A$1:$B$38</definedName>
    <definedName name="DaneZewnętrzne_7" localSheetId="9" hidden="1">gry_turniejowe!$A$1:$B$32</definedName>
    <definedName name="DaneZewnętrzne_7" localSheetId="7" hidden="1">plec!$A$1:$B$3</definedName>
    <definedName name="DaneZewnętrzne_8" localSheetId="6" hidden="1">wydzial!$A$1:$B$34</definedName>
    <definedName name="DaneZewnętrzne_9" localSheetId="5" hidden="1">odpowiedzi!$A$1:$H$200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2" i="20" l="1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zyny" description="Połączenie z zapytaniem „druzyny” w skoroszycie." type="5" refreshedVersion="6" background="1" saveData="1">
    <dbPr connection="Provider=Microsoft.Mashup.OleDb.1;Data Source=$Workbook$;Location=druzyny;Extended Properties=&quot;&quot;" command="SELECT * FROM [druzyny]"/>
  </connection>
  <connection id="5" xr16:uid="{99548CBB-AFC0-41FE-A302-C6BAAB9C6AEC}" keepAlive="1" name="Zapytanie — gry_regularne" description="Połączenie z zapytaniem „gry_regularne” w skoroszycie." type="5" refreshedVersion="6" background="1" saveData="1">
    <dbPr connection="Provider=Microsoft.Mashup.OleDb.1;Data Source=$Workbook$;Location=gry_regularne;Extended Properties=&quot;&quot;" command="SELECT * FROM [gry_regularne]"/>
  </connection>
  <connection id="6" xr16:uid="{0BA53C1F-E4A6-4472-BE36-BF1B7B850AA2}" keepAlive="1" name="Zapytanie — gry_turniejowe" description="Połączenie z zapytaniem „gry_turniejowe” w skoroszycie." type="5" refreshedVersion="6" background="1" saveData="1">
    <dbPr connection="Provider=Microsoft.Mashup.OleDb.1;Data Source=$Workbook$;Location=gry_turniejowe;Extended Properties=&quot;&quot;" command="SELECT * FROM [gry_turniejowe]"/>
  </connection>
  <connection id="7" xr16:uid="{293EB407-E97B-4191-BDFC-0D1ADB85F880}" keepAlive="1" name="Zapytanie — odpowiedzi" description="Połączenie z zapytaniem „odpowiedzi” w skoroszycie." type="5" refreshedVersion="6" background="1" saveData="1">
    <dbPr connection="Provider=Microsoft.Mashup.OleDb.1;Data Source=$Workbook$;Location=odpowiedzi;Extended Properties=&quot;&quot;" command="SELECT * FROM [odpowiedzi]"/>
  </connection>
  <connection id="8" xr16:uid="{BAF6B199-B302-4253-A3EB-480FB1271B7F}" keepAlive="1" name="Zapytanie — plec" description="Połączenie z zapytaniem „plec” w skoroszycie." type="5" refreshedVersion="6" background="1" saveData="1">
    <dbPr connection="Provider=Microsoft.Mashup.OleDb.1;Data Source=$Workbook$;Location=plec;Extended Properties=&quot;&quot;" command="SELECT * FROM [plec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C0553436-E0FF-48C7-8D45-95B788EEC7EF}" keepAlive="1" name="Zapytanie — przech_odp_gry_regularne" description="Połączenie z zapytaniem „przech_odp_gry_regularne” w skoroszycie." type="5" refreshedVersion="6" background="1" saveData="1">
    <dbPr connection="Provider=Microsoft.Mashup.OleDb.1;Data Source=$Workbook$;Location=przech_odp_gry_regularne;Extended Properties=&quot;&quot;" command="SELECT * FROM [przech_odp_gry_regularne]"/>
  </connection>
  <connection id="11" xr16:uid="{827C3336-96A5-43D9-BF4C-64EDBD58338A}" keepAlive="1" name="Zapytanie — przech_odp_gry_turniejowe" description="Połączenie z zapytaniem „przech_odp_gry_turniejowe” w skoroszycie." type="5" refreshedVersion="6" background="1" saveData="1">
    <dbPr connection="Provider=Microsoft.Mashup.OleDb.1;Data Source=$Workbook$;Location=przech_odp_gry_turniejowe;Extended Properties=&quot;&quot;" command="SELECT * FROM [przech_odp_gry_turniejowe]"/>
  </connection>
  <connection id="12" xr16:uid="{ECADD915-C655-436F-AEED-D3C52675C649}" keepAlive="1" name="Zapytanie — przech_odp_zainteresowanie_esport" description="Połączenie z zapytaniem „przech_odp_zainteresowanie_esport” w skoroszycie." type="5" refreshedVersion="6" background="1" saveData="1">
    <dbPr connection="Provider=Microsoft.Mashup.OleDb.1;Data Source=$Workbook$;Location=przech_odp_zainteresowanie_esport;Extended Properties=&quot;&quot;" command="SELECT * FROM [przech_odp_zainteresowanie_esport]"/>
  </connection>
  <connection id="13" xr16:uid="{AABB49D3-A1E8-41EE-9A2A-AF19A08A50EA}" keepAlive="1" name="Zapytanie — przech_odp_zainteresowanie_turniej" description="Połączenie z zapytaniem „przech_odp_zainteresowanie_turniej” w skoroszycie." type="5" refreshedVersion="6" background="1" saveData="1">
    <dbPr connection="Provider=Microsoft.Mashup.OleDb.1;Data Source=$Workbook$;Location=przech_odp_zainteresowanie_turniej;Extended Properties=&quot;&quot;" command="SELECT * FROM [przech_odp_zainteresowanie_turniej]"/>
  </connection>
  <connection id="14" xr16:uid="{C0DD5A73-E7DD-4A4D-B5CB-D4F3FD3BD104}" keepAlive="1" name="Zapytanie — wydzial" description="Połączenie z zapytaniem „wydzial” w skoroszycie." type="5" refreshedVersion="6" background="1" saveData="1">
    <dbPr connection="Provider=Microsoft.Mashup.OleDb.1;Data Source=$Workbook$;Location=wydzial;Extended Properties=&quot;&quot;" command="SELECT * FROM [wydzial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_esport" description="Połączenie z zapytaniem „zainteresowanie_esport” w skoroszycie." type="5" refreshedVersion="6" background="1" saveData="1">
    <dbPr connection="Provider=Microsoft.Mashup.OleDb.1;Data Source=$Workbook$;Location=zainteresowanie_esport;Extended Properties=&quot;&quot;" command="SELECT * FROM [zainteresowanie_esport]"/>
  </connection>
  <connection id="17" xr16:uid="{7617F3DA-E401-4EE9-98E4-CC25ABD883E1}" keepAlive="1" name="Zapytanie — zainteresowanie_turniej" description="Połączenie z zapytaniem „zainteresowanie_turniej” w skoroszycie." type="5" refreshedVersion="6" background="1" saveData="1">
    <dbPr connection="Provider=Microsoft.Mashup.OleDb.1;Data Source=$Workbook$;Location=zainteresowanie_turniej;Extended Properties=&quot;&quot;" command="SELECT * FROM [zainteresowanie_turniej]"/>
  </connection>
</connections>
</file>

<file path=xl/sharedStrings.xml><?xml version="1.0" encoding="utf-8"?>
<sst xmlns="http://schemas.openxmlformats.org/spreadsheetml/2006/main" count="3300" uniqueCount="219">
  <si>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</si>
  <si>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</si>
  <si>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</si>
  <si>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</si>
  <si>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</si>
  <si>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</si>
  <si>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</si>
  <si>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</si>
  <si>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</si>
  <si>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</si>
  <si>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</si>
  <si>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</si>
  <si>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</si>
  <si>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</si>
  <si>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</si>
  <si>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</si>
  <si>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</si>
  <si>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</si>
  <si>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</si>
  <si>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</si>
  <si>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</si>
  <si>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</si>
  <si>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</si>
  <si>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</si>
  <si>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</si>
  <si>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</si>
  <si>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</si>
  <si>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</si>
  <si>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</si>
  <si>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</si>
  <si>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</si>
  <si>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</si>
  <si>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</si>
  <si>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</si>
  <si>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</si>
  <si>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</si>
  <si>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</si>
  <si>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</si>
  <si>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</si>
  <si>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</si>
  <si>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</si>
  <si>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</si>
  <si>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</si>
  <si>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</si>
  <si>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</si>
  <si>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</si>
  <si>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</si>
  <si>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</si>
  <si>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</si>
  <si>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</si>
  <si>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</si>
  <si>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</si>
  <si>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</si>
  <si>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</si>
  <si>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</si>
  <si>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</si>
  <si>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</si>
  <si>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</si>
  <si>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</si>
  <si>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</si>
  <si>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</si>
  <si>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</si>
  <si>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</si>
  <si>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</si>
  <si>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</si>
  <si>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</si>
  <si>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</si>
  <si>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</si>
  <si>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</si>
  <si>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</si>
  <si>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</si>
  <si>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</si>
  <si>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</si>
  <si>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</si>
  <si>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</si>
  <si>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</si>
  <si>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</si>
  <si>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</si>
  <si>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</si>
  <si>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</si>
  <si>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</si>
  <si>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</si>
  <si>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</si>
  <si>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</si>
  <si>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</si>
  <si>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</si>
  <si>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</si>
  <si>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</si>
  <si>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</si>
  <si>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</si>
  <si>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</si>
  <si>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</si>
  <si>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</si>
  <si>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</si>
  <si>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</si>
  <si>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</si>
  <si>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</si>
  <si>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</si>
  <si>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</si>
  <si>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</si>
  <si>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</si>
  <si>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</si>
  <si>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</si>
  <si>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</si>
  <si>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</si>
  <si>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</si>
  <si>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</si>
  <si>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</si>
  <si>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</si>
  <si>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</si>
  <si>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</si>
  <si>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</si>
  <si>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</si>
  <si>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</si>
  <si>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</si>
  <si>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</si>
  <si>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</si>
  <si>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</si>
  <si>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</si>
  <si>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</si>
  <si>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</si>
  <si>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</si>
  <si>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</si>
  <si>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</si>
  <si>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</si>
  <si>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</si>
  <si>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</si>
  <si>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</si>
  <si>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</si>
  <si>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</si>
  <si>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</si>
  <si>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</si>
  <si>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</si>
  <si>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</si>
  <si>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</si>
  <si>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</si>
  <si>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</si>
  <si>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</si>
  <si>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</si>
  <si>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</si>
  <si>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</si>
  <si>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</si>
  <si>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</si>
  <si>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</si>
  <si>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</si>
  <si>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</si>
  <si>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</si>
  <si>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</si>
  <si>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</si>
  <si>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</si>
  <si>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</si>
  <si>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</si>
  <si>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</si>
  <si>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</si>
  <si>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</si>
  <si>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</si>
  <si>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</si>
  <si>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</si>
  <si>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</si>
  <si>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</si>
  <si>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</si>
  <si>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</si>
  <si>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</si>
  <si>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</si>
  <si>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</si>
  <si>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</si>
  <si>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</si>
  <si>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</si>
  <si>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</si>
  <si>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</si>
  <si>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</si>
  <si>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</si>
  <si>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</si>
  <si>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</si>
  <si>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</si>
  <si>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</si>
  <si>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</si>
  <si>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</si>
  <si>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</si>
  <si>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</si>
  <si>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</si>
  <si>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</si>
  <si>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</si>
  <si>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Diablo III</t>
  </si>
  <si>
    <t>Mortal Kombat</t>
  </si>
  <si>
    <t>NFS</t>
  </si>
  <si>
    <t>Warhammer 40000: Dawn of War II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</si>
  <si>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</si>
  <si>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</si>
  <si>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</si>
  <si>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</si>
  <si>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</si>
  <si>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</si>
  <si>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</si>
  <si>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</si>
  <si>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</si>
  <si>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</si>
  <si>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id_plec</t>
  </si>
  <si>
    <t>id_wydzial</t>
  </si>
  <si>
    <t>id_odp</t>
  </si>
  <si>
    <t>id_turniej</t>
  </si>
  <si>
    <t>id_druzyna</t>
  </si>
  <si>
    <t>odpowiedz</t>
  </si>
  <si>
    <t>id_zainteresowanie_esport</t>
  </si>
  <si>
    <t>nazwa_gry</t>
  </si>
  <si>
    <t>czy_udzial</t>
  </si>
  <si>
    <t>wiek</t>
  </si>
  <si>
    <t>czy_mail</t>
  </si>
  <si>
    <t>id_przech_odp_regularne_gry</t>
  </si>
  <si>
    <t>id_przech_odp_zainteresowanie_esport</t>
  </si>
  <si>
    <t>d_przech_odp_zainteresowanie_turniej</t>
  </si>
  <si>
    <t>plec</t>
  </si>
  <si>
    <t>id_zainteresowanie_turniej</t>
  </si>
  <si>
    <t>d_druzyny</t>
  </si>
  <si>
    <t>nazwa_wydzialu</t>
  </si>
  <si>
    <t>id_gry_regularne</t>
  </si>
  <si>
    <t>id_przech_odp_druzyny</t>
  </si>
  <si>
    <t>id_gry_turniejowe</t>
  </si>
  <si>
    <t>id_przech_odp_gry_turniejowe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</si>
</sst>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6">
    <queryTableFields count="4">
      <queryTableField id="1" name="Drużyny" tableColumnId="1"/>
      <queryTableField id="4" dataBound="0" tableColumnId="4"/>
      <queryTableField id="2" name="id_odp" tableColumnId="2"/>
      <queryTableField id="5" name="id_przech_odp_druzyn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1" xr16:uid="{158B17CB-F9AA-4294-9E0F-57910B8E27CB}" autoFormatId="16" applyNumberFormats="0" applyBorderFormats="0" applyFontFormats="0" applyPatternFormats="0" applyAlignmentFormats="0" applyWidthHeightFormats="0">
  <queryTableRefresh nextId="7">
    <queryTableFields count="4">
      <queryTableField id="1" name="Gry turniej" tableColumnId="1"/>
      <queryTableField id="4" dataBound="0" tableColumnId="4"/>
      <queryTableField id="2" name="id_odp" tableColumnId="2"/>
      <queryTableField id="6" name="id_przech_odp_gry_turniejow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3" xr16:uid="{B5AB3DB4-AD22-4B79-9172-B26544A3BC6D}" autoFormatId="16" applyNumberFormats="0" applyBorderFormats="0" applyFontFormats="0" applyPatternFormats="0" applyAlignmentFormats="0" applyWidthHeightFormats="0">
  <queryTableRefresh nextId="6">
    <queryTableFields count="4">
      <queryTableField id="1" name="Zainteresowanie turniej" tableColumnId="1"/>
      <queryTableField id="4" dataBound="0" tableColumnId="4"/>
      <queryTableField id="2" name="id_odp" tableColumnId="2"/>
      <queryTableField id="5" name="d_przech_odp_zainteresowanie_turniej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2" xr16:uid="{7A81223E-4F06-412A-B06B-DB85591E6139}" autoFormatId="16" applyNumberFormats="0" applyBorderFormats="0" applyFontFormats="0" applyPatternFormats="0" applyAlignmentFormats="0" applyWidthHeightFormats="0">
  <queryTableRefresh nextId="7">
    <queryTableFields count="4">
      <queryTableField id="1" name="Zainteresowanie e-sport" tableColumnId="1"/>
      <queryTableField id="4" dataBound="0" tableColumnId="4"/>
      <queryTableField id="5" name="id_odp" tableColumnId="2"/>
      <queryTableField id="6" name="id_przech_odp_zainteresowanie_esport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0" xr16:uid="{6E90ED57-CDAB-407D-8E48-DA237BB192F5}" autoFormatId="16" applyNumberFormats="0" applyBorderFormats="0" applyFontFormats="0" applyPatternFormats="0" applyAlignmentFormats="0" applyWidthHeightFormats="0">
  <queryTableRefresh nextId="6">
    <queryTableFields count="4">
      <queryTableField id="1" name="Gry regularne" tableColumnId="1"/>
      <queryTableField id="4" dataBound="0" tableColumnId="4"/>
      <queryTableField id="2" name="id_odp" tableColumnId="2"/>
      <queryTableField id="5" name="id_przech_odp_regularne_gry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7">
    <queryTableFields count="8">
      <queryTableField id="10" name="id_odp" tableColumnId="1"/>
      <queryTableField id="7" dataBound="0" tableColumnId="7"/>
      <queryTableField id="11" name="czy_udzial" tableColumnId="2"/>
      <queryTableField id="3" name="Płeć" tableColumnId="3"/>
      <queryTableField id="8" dataBound="0" tableColumnId="8"/>
      <queryTableField id="4" name="Wiek" tableColumnId="4"/>
      <queryTableField id="5" name="Wydział" tableColumnId="5"/>
      <queryTableField id="12" name="czy_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5">
    <queryTableFields count="2">
      <queryTableField id="3" name="nazwa_wydzialu" tableColumnId="1"/>
      <queryTableField id="4" name="id_wydzial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4">
    <queryTableFields count="2">
      <queryTableField id="1" name="Plec" tableColumnId="1"/>
      <queryTableField id="3" name="id_plec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d_druzyny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6">
    <queryTableFields count="2">
      <queryTableField id="3" name="nazwa_gry" tableColumnId="1"/>
      <queryTableField id="5" name="id_gry_turniejowe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5">
    <queryTableFields count="2">
      <queryTableField id="3" name="nazwa_gry" tableColumnId="1"/>
      <queryTableField id="4" name="id_gry_regularne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turniej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4">
    <queryTableFields count="2">
      <queryTableField id="1" name="Odpowiedz" tableColumnId="1"/>
      <queryTableField id="3" name="id_zainteresowanie_espor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a" queryTableFieldId="4" dataDxfId="33">
      <calculatedColumnFormula>VLOOKUP(przech_odp_druzyny[[#This Row],[Drużyny]],druzyny!A:C,2)</calculatedColumnFormula>
    </tableColumn>
    <tableColumn id="2" xr3:uid="{ABBA0616-8CD5-49B8-B2DA-12CE757478A2}" uniqueName="2" name="id_odp" queryTableFieldId="2"/>
    <tableColumn id="3" xr3:uid="{8A8FEFE9-F9D8-43F2-A1E3-CFAA62B967D4}" uniqueName="3" name="id_przech_odp_druzyny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gry_turniejowe" displayName="przech_odp_gry_turniejowe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32"/>
    <tableColumn id="4" xr3:uid="{C3A4C799-B1C8-4C77-AC17-BD4F7D9DA4E3}" uniqueName="4" name="id_gry_turniejowe" queryTableFieldId="4" dataDxfId="31">
      <calculatedColumnFormula>VLOOKUP(przech_odp_gry_turniejowe[[#This Row],[Gry turniej]],gry_turniejowe[],2)</calculatedColumnFormula>
    </tableColumn>
    <tableColumn id="2" xr3:uid="{2FAC32D3-421E-453D-B093-5AC0D6B5C605}" uniqueName="2" name="id_odp" queryTableFieldId="2"/>
    <tableColumn id="5" xr3:uid="{2A5F28C4-8629-4A4D-B085-1B2E7CD8E379}" uniqueName="5" name="id_przech_odp_gry_turniejowe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zainteresowanie_turniej" displayName="przech_odp_zainteresowanie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0"/>
    <tableColumn id="4" xr3:uid="{A45A7BE0-1826-454E-8651-FF78FAF88EDD}" uniqueName="4" name="id_turniej" queryTableFieldId="4" dataDxfId="29">
      <calculatedColumnFormula>VLOOKUP(przech_odp_zainteresowanie_turniej[[#This Row],[Zainteresowanie turniej]],zainteresowanie_turniej!A:C,2)</calculatedColumnFormula>
    </tableColumn>
    <tableColumn id="2" xr3:uid="{0943F99F-86D4-4EE6-8CEC-616F888329F3}" uniqueName="2" name="id_odp" queryTableFieldId="2"/>
    <tableColumn id="3" xr3:uid="{1CE7AF5E-F5B8-4ED7-B299-9A12D0151D84}" uniqueName="3" name="d_przech_odp_zainteresowanie_turniej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zainteresowanie_esport" displayName="przech_odp_zainteresowanie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28"/>
    <tableColumn id="4" xr3:uid="{AB1D25DA-DD97-43A6-AB22-CBC69352C3E7}" uniqueName="4" name="id_zainteresowanie_esport" queryTableFieldId="4" dataDxfId="27">
      <calculatedColumnFormula>VLOOKUP(przech_odp_zainteresowanie_esport[[#This Row],[Zainteresowanie e-sport]],zainteresowanie_esport!A:C,2)</calculatedColumnFormula>
    </tableColumn>
    <tableColumn id="2" xr3:uid="{ABEA1394-012C-47E1-9EC4-7B91480DA0C1}" uniqueName="2" name="id_odp" queryTableFieldId="5"/>
    <tableColumn id="3" xr3:uid="{B96F9DE1-1A61-45C3-9941-B65518B0FC91}" uniqueName="3" name="id_przech_odp_zainteresowanie_espor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y_regularne" displayName="przech_odp_gry_regularne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y_regularne" queryTableFieldId="4" dataDxfId="25">
      <calculatedColumnFormula>VLOOKUP(przech_odp_gry_regularne[[#This Row],[Gry regularne]],gry_regularne[],2)</calculatedColumnFormula>
    </tableColumn>
    <tableColumn id="2" xr3:uid="{D044585F-4955-4867-BA6B-89363DC1EDB4}" uniqueName="2" name="id_odp" queryTableFieldId="2"/>
    <tableColumn id="3" xr3:uid="{2CA15E2B-E701-4E93-99F0-200C9984FCA6}" uniqueName="3" name="id_przech_odp_regularne_gry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zi" displayName="odpowiedzi" ref="A1:H200" tableType="queryTable" totalsRowShown="0">
  <autoFilter ref="A1:H200" xr:uid="{8235F30E-737F-4F4A-B921-6D2C9F4FA8EE}"/>
  <tableColumns count="8">
    <tableColumn id="1" xr3:uid="{5D5A3E95-4CD7-4838-9153-BB00851D082B}" uniqueName="1" name="id_odp" queryTableFieldId="10"/>
    <tableColumn id="7" xr3:uid="{F6BC6DD2-F711-4E38-9682-6F475CF9EB13}" uniqueName="7" name="id_plec" queryTableFieldId="7" dataDxfId="24">
      <calculatedColumnFormula>VLOOKUP(odpowiedzi[[#This Row],[Płeć]],plec[],2)</calculatedColumnFormula>
    </tableColumn>
    <tableColumn id="2" xr3:uid="{16436190-38BE-435B-8509-9DACC70C1939}" uniqueName="2" name="czy_udzial" queryTableFieldId="11"/>
    <tableColumn id="3" xr3:uid="{6E6BE822-4411-43D0-945A-D8235FF23ABA}" uniqueName="3" name="Płeć" queryTableFieldId="3" dataDxfId="23"/>
    <tableColumn id="8" xr3:uid="{2A55409E-F384-4B8A-8D96-D71CB1D3BF34}" uniqueName="8" name="id_wydzial" queryTableFieldId="8" dataDxfId="22">
      <calculatedColumnFormula>VLOOKUP(odpowiedzi[[#This Row],[Wydział]],wydzial[],2)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1"/>
    <tableColumn id="6" xr3:uid="{8610C4A4-4474-4033-B62D-12F56705637A}" uniqueName="6" name="czy_mail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l" displayName="wydzial" ref="A1:B34" tableType="queryTable" totalsRowShown="0">
  <autoFilter ref="A1:B34" xr:uid="{BF404D1E-2255-4D11-84EE-C07EAB76F157}"/>
  <sortState ref="A2:B34">
    <sortCondition ref="A1:A34"/>
  </sortState>
  <tableColumns count="2">
    <tableColumn id="1" xr3:uid="{DD139B14-9BD0-4F63-8003-FDC43B02903D}" uniqueName="1" name="nazwa_wydzialu" queryTableFieldId="3"/>
    <tableColumn id="2" xr3:uid="{7A3F8952-27B3-4760-A7A8-138BC50C1E9A}" uniqueName="2" name="id_wydzial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lec" displayName="plec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C2859661-0110-48C5-9D2C-15F98D62D5C0}" uniqueName="2" name="id_plec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zyny" displayName="druzyny" ref="A1:B27" tableType="queryTable" totalsRowShown="0">
  <autoFilter ref="A1:B27" xr:uid="{CB6B2B9E-B2D4-4AC4-B416-0586E75141BE}"/>
  <sortState ref="A2:B27">
    <sortCondition ref="A1:A27"/>
  </sortState>
  <tableColumns count="2">
    <tableColumn id="1" xr3:uid="{9043D106-425F-4EC0-B279-DE057E75FE0E}" uniqueName="1" name="odpowiedz" queryTableFieldId="1" dataDxfId="20"/>
    <tableColumn id="2" xr3:uid="{05A24C00-94EE-4E05-B585-3EA4593788AB}" uniqueName="2" name="d_druzyny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owe" displayName="gry_turniejowe" ref="A1:B32" tableType="queryTable" totalsRowShown="0">
  <autoFilter ref="A1:B32" xr:uid="{626DC849-A432-426D-9CED-3F1E90F77D16}"/>
  <sortState ref="A2:B32">
    <sortCondition ref="A1:A32"/>
  </sortState>
  <tableColumns count="2">
    <tableColumn id="1" xr3:uid="{022D7049-104B-4C79-B074-EE7B19B0D701}" uniqueName="1" name="nazwa_gry" queryTableFieldId="3" dataDxfId="19"/>
    <tableColumn id="3" xr3:uid="{E889DC11-4829-4A6C-A6EF-4C149E9DD9D3}" uniqueName="3" name="id_gry_turniejowe" queryTableFieldId="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" displayName="gry_regularne" ref="A1:B38" tableType="queryTable" totalsRowShown="0">
  <autoFilter ref="A1:B38" xr:uid="{68C34645-6084-4ECA-B6F5-60E5727E8F94}"/>
  <sortState ref="A2:B38">
    <sortCondition ref="A1:A38"/>
  </sortState>
  <tableColumns count="2">
    <tableColumn id="1" xr3:uid="{15BB6C71-E220-43D6-9381-93CF5D3AC721}" uniqueName="1" name="nazwa_gry" queryTableFieldId="3" dataDxfId="18"/>
    <tableColumn id="2" xr3:uid="{FE006E49-98A2-407E-BE2B-3DCFD9AA5DC8}" uniqueName="2" name="id_gry_regularne" queryTableFieldId="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7"/>
    <tableColumn id="2" xr3:uid="{14A2DF8B-4CB3-4368-8464-9F112D9819D2}" uniqueName="2" name="id_zainteresowanie_turniej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sport" displayName="zainteresowanie_e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6"/>
    <tableColumn id="2" xr3:uid="{CEA92880-B3EB-446F-861C-7A4990F170FF}" uniqueName="2" name="id_zainteresowanie_esport" queryTableFieldId="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A4F6B-3B8A-4E6E-975E-DA106DCCE873}" name="Wyniki_ankiety" displayName="Wyniki_ankiety" ref="A1:K200" totalsRowShown="0" headerRowDxfId="15" dataDxfId="13" headerRowBorderDxfId="14" tableBorderDxfId="12" totalsRowBorderDxfId="11">
  <autoFilter ref="A1:K200" xr:uid="{DD546168-E593-4BF5-A99F-927892818A84}"/>
  <tableColumns count="11">
    <tableColumn id="1" xr3:uid="{C006F9EB-245C-4F26-B3A4-FC0A8D8479DA}" name="Sygnatura czasowa" dataDxfId="10"/>
    <tableColumn id="2" xr3:uid="{39A6E3C7-1EEC-4088-B449-BD4BC1599E54}" name="Gry regularne" dataDxfId="9"/>
    <tableColumn id="3" xr3:uid="{C358CA49-21AD-43FC-B806-B08D72A93D83}" name="Zainteresowanie e-sport" dataDxfId="8"/>
    <tableColumn id="4" xr3:uid="{D47170AC-8087-43F6-B912-6B65E4EF5127}" name="Zainteresowanie turniej" dataDxfId="7"/>
    <tableColumn id="14" xr3:uid="{74430D14-E0BA-4437-B87A-03552E941C74}" name="Czy udział" dataDxfId="6"/>
    <tableColumn id="6" xr3:uid="{25046F7E-05B1-4040-8605-BEE27E4DA670}" name="Gry turniej" dataDxfId="5"/>
    <tableColumn id="7" xr3:uid="{E12A29FD-702D-4039-9012-1411DEE58AA6}" name="Drużyny" dataDxfId="4"/>
    <tableColumn id="8" xr3:uid="{F593EC5C-B2DB-47E6-9B12-C05161C53243}" name="Płeć" dataDxfId="3"/>
    <tableColumn id="9" xr3:uid="{F695BB34-2771-4B94-BD2C-4577027EE968}" name="Wiek" dataDxfId="2"/>
    <tableColumn id="10" xr3:uid="{934FA93F-9D29-4B0E-8033-9B9DE0E698FA}" name="Wydział" dataDxfId="1"/>
    <tableColumn id="13" xr3:uid="{6F9F04D3-AFE9-4025-A6A7-0AC9E74D6A8E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workbookViewId="0">
      <selection activeCell="B14" sqref="B14"/>
    </sheetView>
  </sheetViews>
  <sheetFormatPr defaultRowHeight="12.75" x14ac:dyDescent="0.2"/>
  <cols>
    <col min="1" max="1" width="61.5703125" bestFit="1" customWidth="1"/>
    <col min="2" max="2" width="13.28515625" bestFit="1" customWidth="1"/>
    <col min="3" max="3" width="9.42578125" bestFit="1" customWidth="1"/>
    <col min="4" max="4" width="25.140625" bestFit="1" customWidth="1"/>
  </cols>
  <sheetData>
    <row r="1" spans="1:4" x14ac:dyDescent="0.2">
      <c r="A1" t="s">
        <v>90</v>
      </c>
      <c r="B1" s="11" t="s">
        <v>201</v>
      </c>
      <c r="C1" t="s">
        <v>199</v>
      </c>
      <c r="D1" t="s">
        <v>216</v>
      </c>
    </row>
    <row r="2" spans="1:4" x14ac:dyDescent="0.2">
      <c r="A2" s="10" t="s">
        <v>17</v>
      </c>
      <c r="B2" s="10">
        <f>VLOOKUP(przech_odp_druzyny[[#This Row],[Drużyny]],druzyny!A:C,2)</f>
        <v>20</v>
      </c>
      <c r="C2">
        <v>1</v>
      </c>
      <c r="D2">
        <v>1</v>
      </c>
    </row>
    <row r="3" spans="1:4" x14ac:dyDescent="0.2">
      <c r="A3" s="10" t="s">
        <v>122</v>
      </c>
      <c r="B3" s="10">
        <f>VLOOKUP(przech_odp_druzyny[[#This Row],[Drużyny]],druzyny!A:C,2)</f>
        <v>23</v>
      </c>
      <c r="C3">
        <v>2</v>
      </c>
      <c r="D3">
        <v>2</v>
      </c>
    </row>
    <row r="4" spans="1:4" x14ac:dyDescent="0.2">
      <c r="A4" s="10" t="s">
        <v>43</v>
      </c>
      <c r="B4" s="10">
        <f>VLOOKUP(przech_odp_druzyny[[#This Row],[Drużyny]],druzyny!A:C,2)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Row],[Drużyny]],druzyny!A:C,2)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Row],[Drużyny]],druzyny!A:C,2)</f>
        <v>20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Row],[Drużyny]],druzyny!A:C,2)</f>
        <v>16</v>
      </c>
      <c r="C7">
        <v>4</v>
      </c>
      <c r="D7">
        <v>6</v>
      </c>
    </row>
    <row r="8" spans="1:4" x14ac:dyDescent="0.2">
      <c r="A8" s="10" t="s">
        <v>43</v>
      </c>
      <c r="B8" s="10">
        <f>VLOOKUP(przech_odp_druzyny[[#This Row],[Drużyny]],druzyny!A:C,2)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Row],[Drużyny]],druzyny!A:C,2)</f>
        <v>20</v>
      </c>
      <c r="C9">
        <v>6</v>
      </c>
      <c r="D9">
        <v>8</v>
      </c>
    </row>
    <row r="10" spans="1:4" x14ac:dyDescent="0.2">
      <c r="A10" s="10" t="s">
        <v>122</v>
      </c>
      <c r="B10" s="10">
        <f>VLOOKUP(przech_odp_druzyny[[#This Row],[Drużyny]],druzyny!A:C,2)</f>
        <v>23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Row],[Drużyny]],druzyny!A:C,2)</f>
        <v>16</v>
      </c>
      <c r="C11">
        <v>8</v>
      </c>
      <c r="D11">
        <v>10</v>
      </c>
    </row>
    <row r="12" spans="1:4" x14ac:dyDescent="0.2">
      <c r="A12" s="10" t="s">
        <v>122</v>
      </c>
      <c r="B12" s="10">
        <f>VLOOKUP(przech_odp_druzyny[[#This Row],[Drużyny]],druzyny!A:C,2)</f>
        <v>23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Row],[Drużyny]],druzyny!A:C,2)</f>
        <v>20</v>
      </c>
      <c r="C13">
        <v>9</v>
      </c>
      <c r="D13">
        <v>12</v>
      </c>
    </row>
    <row r="14" spans="1:4" x14ac:dyDescent="0.2">
      <c r="A14" s="10" t="s">
        <v>133</v>
      </c>
      <c r="B14" s="10">
        <f>VLOOKUP(przech_odp_druzyny[[#This Row],[Drużyny]],druzyny!A:C,2)</f>
        <v>21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Row],[Drużyny]],druzyny!A:C,2)</f>
        <v>24</v>
      </c>
      <c r="C15">
        <v>11</v>
      </c>
      <c r="D15">
        <v>14</v>
      </c>
    </row>
    <row r="16" spans="1:4" x14ac:dyDescent="0.2">
      <c r="A16" s="10" t="s">
        <v>43</v>
      </c>
      <c r="B16" s="10">
        <f>VLOOKUP(przech_odp_druzyny[[#This Row],[Drużyny]],druzyny!A:C,2)</f>
        <v>12</v>
      </c>
      <c r="C16">
        <v>12</v>
      </c>
      <c r="D16">
        <v>15</v>
      </c>
    </row>
    <row r="17" spans="1:4" x14ac:dyDescent="0.2">
      <c r="A17" s="10" t="s">
        <v>191</v>
      </c>
      <c r="B17" s="10">
        <f>VLOOKUP(przech_odp_druzyny[[#This Row],[Drużyny]],druzyny!A:C,2)</f>
        <v>4</v>
      </c>
      <c r="C17">
        <v>13</v>
      </c>
      <c r="D17">
        <v>16</v>
      </c>
    </row>
    <row r="18" spans="1:4" x14ac:dyDescent="0.2">
      <c r="A18" s="10" t="s">
        <v>192</v>
      </c>
      <c r="B18" s="10">
        <f>VLOOKUP(przech_odp_druzyny[[#This Row],[Drużyny]],druzyny!A:C,2)</f>
        <v>5</v>
      </c>
      <c r="C18">
        <v>13</v>
      </c>
      <c r="D18">
        <v>17</v>
      </c>
    </row>
    <row r="19" spans="1:4" x14ac:dyDescent="0.2">
      <c r="A19" s="10" t="s">
        <v>133</v>
      </c>
      <c r="B19" s="10">
        <f>VLOOKUP(przech_odp_druzyny[[#This Row],[Drużyny]],druzyny!A:C,2)</f>
        <v>21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Row],[Drużyny]],druzyny!A:C,2)</f>
        <v>16</v>
      </c>
      <c r="C20">
        <v>15</v>
      </c>
      <c r="D20">
        <v>19</v>
      </c>
    </row>
    <row r="21" spans="1:4" x14ac:dyDescent="0.2">
      <c r="A21" s="10" t="s">
        <v>122</v>
      </c>
      <c r="B21" s="10">
        <f>VLOOKUP(przech_odp_druzyny[[#This Row],[Drużyny]],druzyny!A:C,2)</f>
        <v>23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Row],[Drużyny]],druzyny!A:C,2)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Row],[Drużyny]],druzyny!A:C,2)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Row],[Drużyny]],druzyny!A:C,2)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Row],[Drużyny]],druzyny!A:C,2)</f>
        <v>16</v>
      </c>
      <c r="C25">
        <v>20</v>
      </c>
      <c r="D25">
        <v>24</v>
      </c>
    </row>
    <row r="26" spans="1:4" x14ac:dyDescent="0.2">
      <c r="A26" s="10" t="s">
        <v>43</v>
      </c>
      <c r="B26" s="10">
        <f>VLOOKUP(przech_odp_druzyny[[#This Row],[Drużyny]],druzyny!A:C,2)</f>
        <v>12</v>
      </c>
      <c r="C26">
        <v>21</v>
      </c>
      <c r="D26">
        <v>25</v>
      </c>
    </row>
    <row r="27" spans="1:4" x14ac:dyDescent="0.2">
      <c r="A27" s="10" t="s">
        <v>122</v>
      </c>
      <c r="B27" s="10">
        <f>VLOOKUP(przech_odp_druzyny[[#This Row],[Drużyny]],druzyny!A:C,2)</f>
        <v>23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Row],[Drużyny]],druzyny!A:C,2)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Row],[Drużyny]],druzyny!A:C,2)</f>
        <v>6</v>
      </c>
      <c r="C29">
        <v>24</v>
      </c>
      <c r="D29">
        <v>28</v>
      </c>
    </row>
    <row r="30" spans="1:4" x14ac:dyDescent="0.2">
      <c r="A30" s="10" t="s">
        <v>49</v>
      </c>
      <c r="B30" s="10">
        <f>VLOOKUP(przech_odp_druzyny[[#This Row],[Drużyny]],druzyny!A:C,2)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Row],[Drużyny]],druzyny!A:C,2)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Row],[Drużyny]],druzyny!A:C,2)</f>
        <v>16</v>
      </c>
      <c r="C32">
        <v>26</v>
      </c>
      <c r="D32">
        <v>31</v>
      </c>
    </row>
    <row r="33" spans="1:4" x14ac:dyDescent="0.2">
      <c r="A33" s="10" t="s">
        <v>43</v>
      </c>
      <c r="B33" s="10">
        <f>VLOOKUP(przech_odp_druzyny[[#This Row],[Drużyny]],druzyny!A:C,2)</f>
        <v>12</v>
      </c>
      <c r="C33">
        <v>27</v>
      </c>
      <c r="D33">
        <v>32</v>
      </c>
    </row>
    <row r="34" spans="1:4" x14ac:dyDescent="0.2">
      <c r="A34" s="10" t="s">
        <v>49</v>
      </c>
      <c r="B34" s="10">
        <f>VLOOKUP(przech_odp_druzyny[[#This Row],[Drużyny]],druzyny!A:C,2)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Row],[Drużyny]],druzyny!A:C,2)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Row],[Drużyny]],druzyny!A:C,2)</f>
        <v>20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Row],[Drużyny]],druzyny!A:C,2)</f>
        <v>16</v>
      </c>
      <c r="C37">
        <v>31</v>
      </c>
      <c r="D37">
        <v>36</v>
      </c>
    </row>
    <row r="38" spans="1:4" x14ac:dyDescent="0.2">
      <c r="A38" s="10" t="s">
        <v>132</v>
      </c>
      <c r="B38" s="10">
        <f>VLOOKUP(przech_odp_druzyny[[#This Row],[Drużyny]],druzyny!A:C,2)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Row],[Drużyny]],druzyny!A:C,2)</f>
        <v>20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Row],[Drużyny]],druzyny!A:C,2)</f>
        <v>24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Row],[Drużyny]],druzyny!A:C,2)</f>
        <v>20</v>
      </c>
      <c r="C41">
        <v>34</v>
      </c>
      <c r="D41">
        <v>40</v>
      </c>
    </row>
    <row r="42" spans="1:4" x14ac:dyDescent="0.2">
      <c r="A42" s="10" t="s">
        <v>43</v>
      </c>
      <c r="B42" s="10">
        <f>VLOOKUP(przech_odp_druzyny[[#This Row],[Drużyny]],druzyny!A:C,2)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Row],[Drużyny]],druzyny!A:C,2)</f>
        <v>16</v>
      </c>
      <c r="C43">
        <v>36</v>
      </c>
      <c r="D43">
        <v>42</v>
      </c>
    </row>
    <row r="44" spans="1:4" x14ac:dyDescent="0.2">
      <c r="A44" s="10" t="s">
        <v>122</v>
      </c>
      <c r="B44" s="10">
        <f>VLOOKUP(przech_odp_druzyny[[#This Row],[Drużyny]],druzyny!A:C,2)</f>
        <v>23</v>
      </c>
      <c r="C44">
        <v>37</v>
      </c>
      <c r="D44">
        <v>43</v>
      </c>
    </row>
    <row r="45" spans="1:4" x14ac:dyDescent="0.2">
      <c r="A45" s="10" t="s">
        <v>122</v>
      </c>
      <c r="B45" s="10">
        <f>VLOOKUP(przech_odp_druzyny[[#This Row],[Drużyny]],druzyny!A:C,2)</f>
        <v>23</v>
      </c>
      <c r="C45">
        <v>38</v>
      </c>
      <c r="D45">
        <v>44</v>
      </c>
    </row>
    <row r="46" spans="1:4" x14ac:dyDescent="0.2">
      <c r="A46" s="10" t="s">
        <v>43</v>
      </c>
      <c r="B46" s="10">
        <f>VLOOKUP(przech_odp_druzyny[[#This Row],[Drużyny]],druzyny!A:C,2)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Row],[Drużyny]],druzyny!A:C,2)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Row],[Drużyny]],druzyny!A:C,2)</f>
        <v>10</v>
      </c>
      <c r="C48">
        <v>40</v>
      </c>
      <c r="D48">
        <v>47</v>
      </c>
    </row>
    <row r="49" spans="1:4" x14ac:dyDescent="0.2">
      <c r="A49" s="10" t="s">
        <v>49</v>
      </c>
      <c r="B49" s="10">
        <f>VLOOKUP(przech_odp_druzyny[[#This Row],[Drużyny]],druzyny!A:C,2)</f>
        <v>1</v>
      </c>
      <c r="C49">
        <v>41</v>
      </c>
      <c r="D49">
        <v>48</v>
      </c>
    </row>
    <row r="50" spans="1:4" x14ac:dyDescent="0.2">
      <c r="A50" s="10" t="s">
        <v>120</v>
      </c>
      <c r="B50" s="10">
        <f>VLOOKUP(przech_odp_druzyny[[#This Row],[Drużyny]],druzyny!A:C,2)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Row],[Drużyny]],druzyny!A:C,2)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Row],[Drużyny]],druzyny!A:C,2)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Row],[Drużyny]],druzyny!A:C,2)</f>
        <v>16</v>
      </c>
      <c r="C53">
        <v>45</v>
      </c>
      <c r="D53">
        <v>52</v>
      </c>
    </row>
    <row r="54" spans="1:4" x14ac:dyDescent="0.2">
      <c r="A54" s="10" t="s">
        <v>128</v>
      </c>
      <c r="B54" s="10">
        <f>VLOOKUP(przech_odp_druzyny[[#This Row],[Drużyny]],druzyny!A:C,2)</f>
        <v>9</v>
      </c>
      <c r="C54">
        <v>46</v>
      </c>
      <c r="D54">
        <v>53</v>
      </c>
    </row>
    <row r="55" spans="1:4" x14ac:dyDescent="0.2">
      <c r="A55" s="10" t="s">
        <v>129</v>
      </c>
      <c r="B55" s="10">
        <f>VLOOKUP(przech_odp_druzyny[[#This Row],[Drużyny]],druzyny!A:C,2)</f>
        <v>22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Row],[Drużyny]],druzyny!A:C,2)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Row],[Drużyny]],druzyny!A:C,2)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Row],[Drużyny]],druzyny!A:C,2)</f>
        <v>20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Row],[Drużyny]],druzyny!A:C,2)</f>
        <v>24</v>
      </c>
      <c r="C59">
        <v>51</v>
      </c>
      <c r="D59">
        <v>58</v>
      </c>
    </row>
    <row r="60" spans="1:4" x14ac:dyDescent="0.2">
      <c r="A60" s="10" t="s">
        <v>122</v>
      </c>
      <c r="B60" s="10">
        <f>VLOOKUP(przech_odp_druzyny[[#This Row],[Drużyny]],druzyny!A:C,2)</f>
        <v>23</v>
      </c>
      <c r="C60">
        <v>51</v>
      </c>
      <c r="D60">
        <v>59</v>
      </c>
    </row>
    <row r="61" spans="1:4" x14ac:dyDescent="0.2">
      <c r="A61" s="10" t="s">
        <v>49</v>
      </c>
      <c r="B61" s="10">
        <f>VLOOKUP(przech_odp_druzyny[[#This Row],[Drużyny]],druzyny!A:C,2)</f>
        <v>1</v>
      </c>
      <c r="C61">
        <v>52</v>
      </c>
      <c r="D61">
        <v>60</v>
      </c>
    </row>
    <row r="62" spans="1:4" x14ac:dyDescent="0.2">
      <c r="A62" s="10" t="s">
        <v>130</v>
      </c>
      <c r="B62" s="10">
        <f>VLOOKUP(przech_odp_druzyny[[#This Row],[Drużyny]],druzyny!A:C,2)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Row],[Drużyny]],druzyny!A:C,2)</f>
        <v>16</v>
      </c>
      <c r="C63">
        <v>54</v>
      </c>
      <c r="D63">
        <v>62</v>
      </c>
    </row>
    <row r="64" spans="1:4" x14ac:dyDescent="0.2">
      <c r="A64" s="10" t="s">
        <v>122</v>
      </c>
      <c r="B64" s="10">
        <f>VLOOKUP(przech_odp_druzyny[[#This Row],[Drużyny]],druzyny!A:C,2)</f>
        <v>23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Row],[Drużyny]],druzyny!A:C,2)</f>
        <v>24</v>
      </c>
      <c r="C65">
        <v>56</v>
      </c>
      <c r="D65">
        <v>64</v>
      </c>
    </row>
    <row r="66" spans="1:4" x14ac:dyDescent="0.2">
      <c r="A66" s="10" t="s">
        <v>43</v>
      </c>
      <c r="B66" s="10">
        <f>VLOOKUP(przech_odp_druzyny[[#This Row],[Drużyny]],druzyny!A:C,2)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Row],[Drużyny]],druzyny!A:C,2)</f>
        <v>24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Row],[Drużyny]],druzyny!A:C,2)</f>
        <v>20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Row],[Drużyny]],druzyny!A:C,2)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Row],[Drużyny]],druzyny!A:C,2)</f>
        <v>16</v>
      </c>
      <c r="C70">
        <v>61</v>
      </c>
      <c r="D70">
        <v>69</v>
      </c>
    </row>
    <row r="71" spans="1:4" x14ac:dyDescent="0.2">
      <c r="A71" s="10" t="s">
        <v>49</v>
      </c>
      <c r="B71" s="10">
        <f>VLOOKUP(przech_odp_druzyny[[#This Row],[Drużyny]],druzyny!A:C,2)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Row],[Drużyny]],druzyny!A:C,2)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Row],[Drużyny]],druzyny!A:C,2)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Row],[Drużyny]],druzyny!A:C,2)</f>
        <v>16</v>
      </c>
      <c r="C74">
        <v>65</v>
      </c>
      <c r="D74">
        <v>73</v>
      </c>
    </row>
    <row r="75" spans="1:4" x14ac:dyDescent="0.2">
      <c r="A75" s="10" t="s">
        <v>43</v>
      </c>
      <c r="B75" s="10">
        <f>VLOOKUP(przech_odp_druzyny[[#This Row],[Drużyny]],druzyny!A:C,2)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Row],[Drużyny]],druzyny!A:C,2)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Row],[Drużyny]],druzyny!A:C,2)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Row],[Drużyny]],druzyny!A:C,2)</f>
        <v>20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Row],[Drużyny]],druzyny!A:C,2)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Row],[Drużyny]],druzyny!A:C,2)</f>
        <v>16</v>
      </c>
      <c r="C80">
        <v>71</v>
      </c>
      <c r="D80">
        <v>79</v>
      </c>
    </row>
    <row r="81" spans="1:4" x14ac:dyDescent="0.2">
      <c r="A81" s="10" t="s">
        <v>37</v>
      </c>
      <c r="B81" s="10">
        <f>VLOOKUP(przech_odp_druzyny[[#This Row],[Drużyny]],druzyny!A:C,2)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Row],[Drużyny]],druzyny!A:C,2)</f>
        <v>20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Row],[Drużyny]],druzyny!A:C,2)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Row],[Drużyny]],druzyny!A:C,2)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Row],[Drużyny]],druzyny!A:C,2)</f>
        <v>6</v>
      </c>
      <c r="C85">
        <v>75</v>
      </c>
      <c r="D85">
        <v>84</v>
      </c>
    </row>
    <row r="86" spans="1:4" x14ac:dyDescent="0.2">
      <c r="A86" s="10" t="s">
        <v>49</v>
      </c>
      <c r="B86" s="10">
        <f>VLOOKUP(przech_odp_druzyny[[#This Row],[Drużyny]],druzyny!A:C,2)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Row],[Drużyny]],druzyny!A:C,2)</f>
        <v>6</v>
      </c>
      <c r="C87">
        <v>76</v>
      </c>
      <c r="D87">
        <v>86</v>
      </c>
    </row>
    <row r="88" spans="1:4" x14ac:dyDescent="0.2">
      <c r="A88" s="10" t="s">
        <v>49</v>
      </c>
      <c r="B88" s="10">
        <f>VLOOKUP(przech_odp_druzyny[[#This Row],[Drużyny]],druzyny!A:C,2)</f>
        <v>1</v>
      </c>
      <c r="C88">
        <v>76</v>
      </c>
      <c r="D88">
        <v>87</v>
      </c>
    </row>
    <row r="89" spans="1:4" x14ac:dyDescent="0.2">
      <c r="A89" s="10" t="s">
        <v>43</v>
      </c>
      <c r="B89" s="10">
        <f>VLOOKUP(przech_odp_druzyny[[#This Row],[Drużyny]],druzyny!A:C,2)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Row],[Drużyny]],druzyny!A:C,2)</f>
        <v>10</v>
      </c>
      <c r="C90">
        <v>77</v>
      </c>
      <c r="D90">
        <v>89</v>
      </c>
    </row>
    <row r="91" spans="1:4" x14ac:dyDescent="0.2">
      <c r="A91" s="10" t="s">
        <v>37</v>
      </c>
      <c r="B91" s="10">
        <f>VLOOKUP(przech_odp_druzyny[[#This Row],[Drużyny]],druzyny!A:C,2)</f>
        <v>13</v>
      </c>
      <c r="C91">
        <v>78</v>
      </c>
      <c r="D91">
        <v>90</v>
      </c>
    </row>
    <row r="92" spans="1:4" x14ac:dyDescent="0.2">
      <c r="A92" s="10" t="s">
        <v>43</v>
      </c>
      <c r="B92" s="10">
        <f>VLOOKUP(przech_odp_druzyny[[#This Row],[Drużyny]],druzyny!A:C,2)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Row],[Drużyny]],druzyny!A:C,2)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Row],[Drużyny]],druzyny!A:C,2)</f>
        <v>16</v>
      </c>
      <c r="C94">
        <v>79</v>
      </c>
      <c r="D94">
        <v>93</v>
      </c>
    </row>
    <row r="95" spans="1:4" x14ac:dyDescent="0.2">
      <c r="A95" s="10" t="s">
        <v>43</v>
      </c>
      <c r="B95" s="10">
        <f>VLOOKUP(przech_odp_druzyny[[#This Row],[Drużyny]],druzyny!A:C,2)</f>
        <v>12</v>
      </c>
      <c r="C95">
        <v>80</v>
      </c>
      <c r="D95">
        <v>94</v>
      </c>
    </row>
    <row r="96" spans="1:4" x14ac:dyDescent="0.2">
      <c r="A96" s="10" t="s">
        <v>43</v>
      </c>
      <c r="B96" s="10">
        <f>VLOOKUP(przech_odp_druzyny[[#This Row],[Drużyny]],druzyny!A:C,2)</f>
        <v>12</v>
      </c>
      <c r="C96">
        <v>81</v>
      </c>
      <c r="D96">
        <v>95</v>
      </c>
    </row>
    <row r="97" spans="1:4" x14ac:dyDescent="0.2">
      <c r="A97" s="10" t="s">
        <v>43</v>
      </c>
      <c r="B97" s="10">
        <f>VLOOKUP(przech_odp_druzyny[[#This Row],[Drużyny]],druzyny!A:C,2)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Row],[Drużyny]],druzyny!A:C,2)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Row],[Drużyny]],druzyny!A:C,2)</f>
        <v>16</v>
      </c>
      <c r="C99">
        <v>83</v>
      </c>
      <c r="D99">
        <v>98</v>
      </c>
    </row>
    <row r="100" spans="1:4" x14ac:dyDescent="0.2">
      <c r="A100" s="10" t="s">
        <v>43</v>
      </c>
      <c r="B100" s="10">
        <f>VLOOKUP(przech_odp_druzyny[[#This Row],[Drużyny]],druzyny!A:C,2)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Row],[Drużyny]],druzyny!A:C,2)</f>
        <v>16</v>
      </c>
      <c r="C101">
        <v>85</v>
      </c>
      <c r="D101">
        <v>100</v>
      </c>
    </row>
    <row r="102" spans="1:4" x14ac:dyDescent="0.2">
      <c r="A102" s="10" t="s">
        <v>49</v>
      </c>
      <c r="B102" s="10">
        <f>VLOOKUP(przech_odp_druzyny[[#This Row],[Drużyny]],druzyny!A:C,2)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Row],[Drużyny]],druzyny!A:C,2)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Row],[Drużyny]],druzyny!A:C,2)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Row],[Drużyny]],druzyny!A:C,2)</f>
        <v>16</v>
      </c>
      <c r="C105">
        <v>89</v>
      </c>
      <c r="D105">
        <v>104</v>
      </c>
    </row>
    <row r="106" spans="1:4" x14ac:dyDescent="0.2">
      <c r="A106" s="10" t="s">
        <v>43</v>
      </c>
      <c r="B106" s="10">
        <f>VLOOKUP(przech_odp_druzyny[[#This Row],[Drużyny]],druzyny!A:C,2)</f>
        <v>12</v>
      </c>
      <c r="C106">
        <v>90</v>
      </c>
      <c r="D106">
        <v>105</v>
      </c>
    </row>
    <row r="107" spans="1:4" x14ac:dyDescent="0.2">
      <c r="A107" s="10" t="s">
        <v>122</v>
      </c>
      <c r="B107" s="10">
        <f>VLOOKUP(przech_odp_druzyny[[#This Row],[Drużyny]],druzyny!A:C,2)</f>
        <v>23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Row],[Drużyny]],druzyny!A:C,2)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Row],[Drużyny]],druzyny!A:C,2)</f>
        <v>20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Row],[Drużyny]],druzyny!A:C,2)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Row],[Drużyny]],druzyny!A:C,2)</f>
        <v>16</v>
      </c>
      <c r="C111">
        <v>94</v>
      </c>
      <c r="D111">
        <v>110</v>
      </c>
    </row>
    <row r="112" spans="1:4" x14ac:dyDescent="0.2">
      <c r="A112" s="10" t="s">
        <v>129</v>
      </c>
      <c r="B112" s="10">
        <f>VLOOKUP(przech_odp_druzyny[[#This Row],[Drużyny]],druzyny!A:C,2)</f>
        <v>22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Row],[Drużyny]],druzyny!A:C,2)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Row],[Drużyny]],druzyny!A:C,2)</f>
        <v>20</v>
      </c>
      <c r="C114">
        <v>97</v>
      </c>
      <c r="D114">
        <v>113</v>
      </c>
    </row>
    <row r="115" spans="1:4" x14ac:dyDescent="0.2">
      <c r="A115" s="10" t="s">
        <v>43</v>
      </c>
      <c r="B115" s="10">
        <f>VLOOKUP(przech_odp_druzyny[[#This Row],[Drużyny]],druzyny!A:C,2)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Row],[Drużyny]],druzyny!A:C,2)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Row],[Drużyny]],druzyny!A:C,2)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Row],[Drużyny]],druzyny!A:C,2)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Row],[Drużyny]],druzyny!A:C,2)</f>
        <v>16</v>
      </c>
      <c r="C119">
        <v>102</v>
      </c>
      <c r="D119">
        <v>118</v>
      </c>
    </row>
    <row r="120" spans="1:4" x14ac:dyDescent="0.2">
      <c r="A120" s="10" t="s">
        <v>36</v>
      </c>
      <c r="B120" s="10">
        <f>VLOOKUP(przech_odp_druzyny[[#This Row],[Drużyny]],druzyny!A:C,2)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Row],[Drużyny]],druzyny!A:C,2)</f>
        <v>6</v>
      </c>
      <c r="C121">
        <v>104</v>
      </c>
      <c r="D121">
        <v>120</v>
      </c>
    </row>
    <row r="122" spans="1:4" x14ac:dyDescent="0.2">
      <c r="A122" s="10" t="s">
        <v>49</v>
      </c>
      <c r="B122" s="10">
        <f>VLOOKUP(przech_odp_druzyny[[#This Row],[Drużyny]],druzyny!A:C,2)</f>
        <v>1</v>
      </c>
      <c r="C122">
        <v>104</v>
      </c>
      <c r="D122">
        <v>121</v>
      </c>
    </row>
    <row r="123" spans="1:4" x14ac:dyDescent="0.2">
      <c r="A123" s="10" t="s">
        <v>37</v>
      </c>
      <c r="B123" s="10">
        <f>VLOOKUP(przech_odp_druzyny[[#This Row],[Drużyny]],druzyny!A:C,2)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Row],[Drużyny]],druzyny!A:C,2)</f>
        <v>16</v>
      </c>
      <c r="C124">
        <v>106</v>
      </c>
      <c r="D124">
        <v>123</v>
      </c>
    </row>
    <row r="125" spans="1:4" x14ac:dyDescent="0.2">
      <c r="A125" s="10" t="s">
        <v>136</v>
      </c>
      <c r="B125" s="10">
        <f>VLOOKUP(przech_odp_druzyny[[#This Row],[Drużyny]],druzyny!A:C,2)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Row],[Drużyny]],druzyny!A:C,2)</f>
        <v>16</v>
      </c>
      <c r="C126">
        <v>108</v>
      </c>
      <c r="D126">
        <v>125</v>
      </c>
    </row>
    <row r="127" spans="1:4" x14ac:dyDescent="0.2">
      <c r="A127" s="10" t="s">
        <v>122</v>
      </c>
      <c r="B127" s="10">
        <f>VLOOKUP(przech_odp_druzyny[[#This Row],[Drużyny]],druzyny!A:C,2)</f>
        <v>23</v>
      </c>
      <c r="C127">
        <v>109</v>
      </c>
      <c r="D127">
        <v>126</v>
      </c>
    </row>
    <row r="128" spans="1:4" x14ac:dyDescent="0.2">
      <c r="A128" s="10" t="s">
        <v>122</v>
      </c>
      <c r="B128" s="10">
        <f>VLOOKUP(przech_odp_druzyny[[#This Row],[Drużyny]],druzyny!A:C,2)</f>
        <v>23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Row],[Drużyny]],druzyny!A:C,2)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Row],[Drużyny]],druzyny!A:C,2)</f>
        <v>16</v>
      </c>
      <c r="C130">
        <v>112</v>
      </c>
      <c r="D130">
        <v>129</v>
      </c>
    </row>
    <row r="131" spans="1:4" x14ac:dyDescent="0.2">
      <c r="A131" s="10" t="s">
        <v>36</v>
      </c>
      <c r="B131" s="10">
        <f>VLOOKUP(przech_odp_druzyny[[#This Row],[Drużyny]],druzyny!A:C,2)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Row],[Drużyny]],druzyny!A:C,2)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Row],[Drużyny]],druzyny!A:C,2)</f>
        <v>20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Row],[Drużyny]],druzyny!A:C,2)</f>
        <v>24</v>
      </c>
      <c r="C134">
        <v>115</v>
      </c>
      <c r="D134">
        <v>133</v>
      </c>
    </row>
    <row r="135" spans="1:4" x14ac:dyDescent="0.2">
      <c r="A135" s="10" t="s">
        <v>49</v>
      </c>
      <c r="B135" s="10">
        <f>VLOOKUP(przech_odp_druzyny[[#This Row],[Drużyny]],druzyny!A:C,2)</f>
        <v>1</v>
      </c>
      <c r="C135">
        <v>115</v>
      </c>
      <c r="D135">
        <v>134</v>
      </c>
    </row>
    <row r="136" spans="1:4" x14ac:dyDescent="0.2">
      <c r="A136" s="10" t="s">
        <v>37</v>
      </c>
      <c r="B136" s="10">
        <f>VLOOKUP(przech_odp_druzyny[[#This Row],[Drużyny]],druzyny!A:C,2)</f>
        <v>13</v>
      </c>
      <c r="C136">
        <v>116</v>
      </c>
      <c r="D136">
        <v>135</v>
      </c>
    </row>
    <row r="137" spans="1:4" x14ac:dyDescent="0.2">
      <c r="A137" s="10" t="s">
        <v>138</v>
      </c>
      <c r="B137" s="10">
        <f>VLOOKUP(przech_odp_druzyny[[#This Row],[Drużyny]],druzyny!A:C,2)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Row],[Drużyny]],druzyny!A:C,2)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Row],[Drużyny]],druzyny!A:C,2)</f>
        <v>24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Row],[Drużyny]],druzyny!A:C,2)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Row],[Drużyny]],druzyny!A:C,2)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Row],[Drużyny]],druzyny!A:C,2)</f>
        <v>16</v>
      </c>
      <c r="C142">
        <v>122</v>
      </c>
      <c r="D142">
        <v>141</v>
      </c>
    </row>
    <row r="143" spans="1:4" x14ac:dyDescent="0.2">
      <c r="A143" s="10" t="s">
        <v>43</v>
      </c>
      <c r="B143" s="10">
        <f>VLOOKUP(przech_odp_druzyny[[#This Row],[Drużyny]],druzyny!A:C,2)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Row],[Drużyny]],druzyny!A:C,2)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Row],[Drużyny]],druzyny!A:C,2)</f>
        <v>16</v>
      </c>
      <c r="C145">
        <v>125</v>
      </c>
      <c r="D145">
        <v>144</v>
      </c>
    </row>
    <row r="146" spans="1:4" x14ac:dyDescent="0.2">
      <c r="A146" s="10" t="s">
        <v>121</v>
      </c>
      <c r="B146" s="10">
        <f>VLOOKUP(przech_odp_druzyny[[#This Row],[Drużyny]],druzyny!A:C,2)</f>
        <v>19</v>
      </c>
      <c r="C146">
        <v>126</v>
      </c>
      <c r="D146">
        <v>145</v>
      </c>
    </row>
    <row r="147" spans="1:4" x14ac:dyDescent="0.2">
      <c r="A147" s="10" t="s">
        <v>194</v>
      </c>
      <c r="B147" s="10">
        <f>VLOOKUP(przech_odp_druzyny[[#This Row],[Drużyny]],druzyny!A:C,2)</f>
        <v>18</v>
      </c>
      <c r="C147">
        <v>126</v>
      </c>
      <c r="D147">
        <v>146</v>
      </c>
    </row>
    <row r="148" spans="1:4" x14ac:dyDescent="0.2">
      <c r="A148" s="10" t="s">
        <v>43</v>
      </c>
      <c r="B148" s="10">
        <f>VLOOKUP(przech_odp_druzyny[[#This Row],[Drużyny]],druzyny!A:C,2)</f>
        <v>12</v>
      </c>
      <c r="C148">
        <v>127</v>
      </c>
      <c r="D148">
        <v>147</v>
      </c>
    </row>
    <row r="149" spans="1:4" x14ac:dyDescent="0.2">
      <c r="A149" s="10" t="s">
        <v>140</v>
      </c>
      <c r="B149" s="10">
        <f>VLOOKUP(przech_odp_druzyny[[#This Row],[Drużyny]],druzyny!A:C,2)</f>
        <v>3</v>
      </c>
      <c r="C149">
        <v>128</v>
      </c>
      <c r="D149">
        <v>148</v>
      </c>
    </row>
    <row r="150" spans="1:4" x14ac:dyDescent="0.2">
      <c r="A150" s="10" t="s">
        <v>195</v>
      </c>
      <c r="B150" s="10">
        <f>VLOOKUP(przech_odp_druzyny[[#This Row],[Drużyny]],druzyny!A:C,2)</f>
        <v>25</v>
      </c>
      <c r="C150">
        <v>129</v>
      </c>
      <c r="D150">
        <v>149</v>
      </c>
    </row>
    <row r="151" spans="1:4" x14ac:dyDescent="0.2">
      <c r="A151" s="10" t="s">
        <v>196</v>
      </c>
      <c r="B151" s="10">
        <f>VLOOKUP(przech_odp_druzyny[[#This Row],[Drużyny]],druzyny!A:C,2)</f>
        <v>26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Row],[Drużyny]],druzyny!A:C,2)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Row],[Drużyny]],druzyny!A:C,2)</f>
        <v>6</v>
      </c>
      <c r="C153">
        <v>131</v>
      </c>
      <c r="D153">
        <v>152</v>
      </c>
    </row>
    <row r="154" spans="1:4" x14ac:dyDescent="0.2">
      <c r="A154" s="10" t="s">
        <v>49</v>
      </c>
      <c r="B154" s="10">
        <f>VLOOKUP(przech_odp_druzyny[[#This Row],[Drużyny]],druzyny!A:C,2)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Row],[Drużyny]],druzyny!A:C,2)</f>
        <v>24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Row],[Drużyny]],druzyny!A:C,2)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Row],[Drużyny]],druzyny!A:C,2)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Row],[Drużyny]],druzyny!A:C,2)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Row],[Drużyny]],druzyny!A:C,2)</f>
        <v>16</v>
      </c>
      <c r="C159">
        <v>136</v>
      </c>
      <c r="D159">
        <v>158</v>
      </c>
    </row>
    <row r="160" spans="1:4" x14ac:dyDescent="0.2">
      <c r="A160" s="10" t="s">
        <v>43</v>
      </c>
      <c r="B160" s="10">
        <f>VLOOKUP(przech_odp_druzyny[[#This Row],[Drużyny]],druzyny!A:C,2)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Row],[Drużyny]],druzyny!A:C,2)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Row],[Drużyny]],druzyny!A:C,2)</f>
        <v>10</v>
      </c>
      <c r="C162">
        <v>138</v>
      </c>
      <c r="D162">
        <v>161</v>
      </c>
    </row>
    <row r="163" spans="1:4" x14ac:dyDescent="0.2">
      <c r="A163" s="10" t="s">
        <v>43</v>
      </c>
      <c r="B163" s="10">
        <f>VLOOKUP(przech_odp_druzyny[[#This Row],[Drużyny]],druzyny!A:C,2)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Row],[Drużyny]],druzyny!A:C,2)</f>
        <v>16</v>
      </c>
      <c r="C164">
        <v>140</v>
      </c>
      <c r="D164">
        <v>163</v>
      </c>
    </row>
    <row r="165" spans="1:4" x14ac:dyDescent="0.2">
      <c r="A165" s="10" t="s">
        <v>122</v>
      </c>
      <c r="B165" s="10">
        <f>VLOOKUP(przech_odp_druzyny[[#This Row],[Drużyny]],druzyny!A:C,2)</f>
        <v>23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Row],[Drużyny]],druzyny!A:C,2)</f>
        <v>10</v>
      </c>
      <c r="C166">
        <v>142</v>
      </c>
      <c r="D166">
        <v>165</v>
      </c>
    </row>
    <row r="167" spans="1:4" x14ac:dyDescent="0.2">
      <c r="A167" s="10" t="s">
        <v>193</v>
      </c>
      <c r="B167" s="10">
        <f>VLOOKUP(przech_odp_druzyny[[#This Row],[Drużyny]],druzyny!A:C,2)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Row],[Drużyny]],druzyny!A:C,2)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Row],[Drużyny]],druzyny!A:C,2)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Row],[Drużyny]],druzyny!A:C,2)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Row],[Drużyny]],druzyny!A:C,2)</f>
        <v>16</v>
      </c>
      <c r="C171">
        <v>145</v>
      </c>
      <c r="D171">
        <v>170</v>
      </c>
    </row>
    <row r="172" spans="1:4" x14ac:dyDescent="0.2">
      <c r="A172" s="10" t="s">
        <v>43</v>
      </c>
      <c r="B172" s="10">
        <f>VLOOKUP(przech_odp_druzyny[[#This Row],[Drużyny]],druzyny!A:C,2)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Row],[Drużyny]],druzyny!A:C,2)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Row],[Drużyny]],druzyny!A:C,2)</f>
        <v>16</v>
      </c>
      <c r="C174">
        <v>147</v>
      </c>
      <c r="D174">
        <v>173</v>
      </c>
    </row>
    <row r="175" spans="1:4" x14ac:dyDescent="0.2">
      <c r="A175" s="10" t="s">
        <v>37</v>
      </c>
      <c r="B175" s="10">
        <f>VLOOKUP(przech_odp_druzyny[[#This Row],[Drużyny]],druzyny!A:C,2)</f>
        <v>13</v>
      </c>
      <c r="C175">
        <v>148</v>
      </c>
      <c r="D175">
        <v>174</v>
      </c>
    </row>
    <row r="176" spans="1:4" x14ac:dyDescent="0.2">
      <c r="A176" s="10" t="s">
        <v>121</v>
      </c>
      <c r="B176" s="10">
        <f>VLOOKUP(przech_odp_druzyny[[#This Row],[Drużyny]],druzyny!A:C,2)</f>
        <v>19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Row],[Drużyny]],druzyny!A:C,2)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Row],[Drużyny]],druzyny!A:C,2)</f>
        <v>16</v>
      </c>
      <c r="C178">
        <v>151</v>
      </c>
      <c r="D178">
        <v>177</v>
      </c>
    </row>
    <row r="179" spans="1:4" x14ac:dyDescent="0.2">
      <c r="A179" s="10" t="s">
        <v>120</v>
      </c>
      <c r="B179" s="10">
        <f>VLOOKUP(przech_odp_druzyny[[#This Row],[Drużyny]],druzyny!A:C,2)</f>
        <v>2</v>
      </c>
      <c r="C179">
        <v>152</v>
      </c>
      <c r="D179">
        <v>178</v>
      </c>
    </row>
    <row r="180" spans="1:4" x14ac:dyDescent="0.2">
      <c r="A180" s="10" t="s">
        <v>36</v>
      </c>
      <c r="B180" s="10">
        <f>VLOOKUP(przech_odp_druzyny[[#This Row],[Drużyny]],druzyny!A:C,2)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Row],[Drużyny]],druzyny!A:C,2)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Row],[Drużyny]],druzyny!A:C,2)</f>
        <v>20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Row],[Drużyny]],druzyny!A:C,2)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Row],[Drużyny]],druzyny!A:C,2)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Row],[Drużyny]],druzyny!A:C,2)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Row],[Drużyny]],druzyny!A:C,2)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Row],[Drużyny]],druzyny!A:C,2)</f>
        <v>16</v>
      </c>
      <c r="C187">
        <v>158</v>
      </c>
      <c r="D187">
        <v>186</v>
      </c>
    </row>
    <row r="188" spans="1:4" x14ac:dyDescent="0.2">
      <c r="A188" s="10" t="s">
        <v>37</v>
      </c>
      <c r="B188" s="10">
        <f>VLOOKUP(przech_odp_druzyny[[#This Row],[Drużyny]],druzyny!A:C,2)</f>
        <v>13</v>
      </c>
      <c r="C188">
        <v>159</v>
      </c>
      <c r="D188">
        <v>187</v>
      </c>
    </row>
    <row r="189" spans="1:4" x14ac:dyDescent="0.2">
      <c r="A189" s="10" t="s">
        <v>43</v>
      </c>
      <c r="B189" s="10">
        <f>VLOOKUP(przech_odp_druzyny[[#This Row],[Drużyny]],druzyny!A:C,2)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Row],[Drużyny]],druzyny!A:C,2)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Row],[Drużyny]],druzyny!A:C,2)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Row],[Drużyny]],druzyny!A:C,2)</f>
        <v>16</v>
      </c>
      <c r="C192">
        <v>161</v>
      </c>
      <c r="D192">
        <v>191</v>
      </c>
    </row>
    <row r="193" spans="1:4" x14ac:dyDescent="0.2">
      <c r="A193" s="10" t="s">
        <v>122</v>
      </c>
      <c r="B193" s="10">
        <f>VLOOKUP(przech_odp_druzyny[[#This Row],[Drużyny]],druzyny!A:C,2)</f>
        <v>23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Row],[Drużyny]],druzyny!A:C,2)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Row],[Drużyny]],druzyny!A:C,2)</f>
        <v>16</v>
      </c>
      <c r="C195">
        <v>164</v>
      </c>
      <c r="D195">
        <v>194</v>
      </c>
    </row>
    <row r="196" spans="1:4" x14ac:dyDescent="0.2">
      <c r="A196" s="10" t="s">
        <v>122</v>
      </c>
      <c r="B196" s="10">
        <f>VLOOKUP(przech_odp_druzyny[[#This Row],[Drużyny]],druzyny!A:C,2)</f>
        <v>23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Row],[Drużyny]],druzyny!A:C,2)</f>
        <v>20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Row],[Drużyny]],druzyny!A:C,2)</f>
        <v>20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Row],[Drużyny]],druzyny!A:C,2)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Row],[Drużyny]],druzyny!A:C,2)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Row],[Drużyny]],druzyny!A:C,2)</f>
        <v>24</v>
      </c>
      <c r="C201">
        <v>170</v>
      </c>
      <c r="D201">
        <v>200</v>
      </c>
    </row>
    <row r="202" spans="1:4" x14ac:dyDescent="0.2">
      <c r="A202" s="10" t="s">
        <v>122</v>
      </c>
      <c r="B202" s="10">
        <f>VLOOKUP(przech_odp_druzyny[[#This Row],[Drużyny]],druzyny!A:C,2)</f>
        <v>23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Row],[Drużyny]],druzyny!A:C,2)</f>
        <v>16</v>
      </c>
      <c r="C203">
        <v>172</v>
      </c>
      <c r="D203">
        <v>202</v>
      </c>
    </row>
    <row r="204" spans="1:4" x14ac:dyDescent="0.2">
      <c r="A204" s="10" t="s">
        <v>120</v>
      </c>
      <c r="B204" s="10">
        <f>VLOOKUP(przech_odp_druzyny[[#This Row],[Drużyny]],druzyny!A:C,2)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Row],[Drużyny]],druzyny!A:C,2)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Row],[Drużyny]],druzyny!A:C,2)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Row],[Drużyny]],druzyny!A:C,2)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Row],[Drużyny]],druzyny!A:C,2)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Row],[Drużyny]],druzyny!A:C,2)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Row],[Drużyny]],druzyny!A:C,2)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Row],[Drużyny]],druzyny!A:C,2)</f>
        <v>16</v>
      </c>
      <c r="C211">
        <v>180</v>
      </c>
      <c r="D211">
        <v>210</v>
      </c>
    </row>
    <row r="212" spans="1:4" x14ac:dyDescent="0.2">
      <c r="A212" s="10" t="s">
        <v>49</v>
      </c>
      <c r="B212" s="10">
        <f>VLOOKUP(przech_odp_druzyny[[#This Row],[Drużyny]],druzyny!A:C,2)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Row],[Drużyny]],druzyny!A:C,2)</f>
        <v>10</v>
      </c>
      <c r="C213">
        <v>181</v>
      </c>
      <c r="D213">
        <v>212</v>
      </c>
    </row>
    <row r="214" spans="1:4" x14ac:dyDescent="0.2">
      <c r="A214" s="10" t="s">
        <v>49</v>
      </c>
      <c r="B214" s="10">
        <f>VLOOKUP(przech_odp_druzyny[[#This Row],[Drużyny]],druzyny!A:C,2)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Row],[Drużyny]],druzyny!A:C,2)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Row],[Drużyny]],druzyny!A:C,2)</f>
        <v>16</v>
      </c>
      <c r="C216">
        <v>184</v>
      </c>
      <c r="D216">
        <v>215</v>
      </c>
    </row>
    <row r="217" spans="1:4" x14ac:dyDescent="0.2">
      <c r="A217" s="10" t="s">
        <v>122</v>
      </c>
      <c r="B217" s="10">
        <f>VLOOKUP(przech_odp_druzyny[[#This Row],[Drużyny]],druzyny!A:C,2)</f>
        <v>23</v>
      </c>
      <c r="C217">
        <v>185</v>
      </c>
      <c r="D217">
        <v>216</v>
      </c>
    </row>
    <row r="218" spans="1:4" x14ac:dyDescent="0.2">
      <c r="A218" s="10" t="s">
        <v>120</v>
      </c>
      <c r="B218" s="10">
        <f>VLOOKUP(przech_odp_druzyny[[#This Row],[Drużyny]],druzyny!A:C,2)</f>
        <v>2</v>
      </c>
      <c r="C218">
        <v>186</v>
      </c>
      <c r="D218">
        <v>217</v>
      </c>
    </row>
    <row r="219" spans="1:4" x14ac:dyDescent="0.2">
      <c r="A219" s="10" t="s">
        <v>120</v>
      </c>
      <c r="B219" s="10">
        <f>VLOOKUP(przech_odp_druzyny[[#This Row],[Drużyny]],druzyny!A:C,2)</f>
        <v>2</v>
      </c>
      <c r="C219">
        <v>187</v>
      </c>
      <c r="D219">
        <v>218</v>
      </c>
    </row>
    <row r="220" spans="1:4" x14ac:dyDescent="0.2">
      <c r="A220" s="10" t="s">
        <v>122</v>
      </c>
      <c r="B220" s="10">
        <f>VLOOKUP(przech_odp_druzyny[[#This Row],[Drużyny]],druzyny!A:C,2)</f>
        <v>23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Row],[Drużyny]],druzyny!A:C,2)</f>
        <v>10</v>
      </c>
      <c r="C221">
        <v>188</v>
      </c>
      <c r="D221">
        <v>220</v>
      </c>
    </row>
    <row r="222" spans="1:4" x14ac:dyDescent="0.2">
      <c r="A222" s="10" t="s">
        <v>43</v>
      </c>
      <c r="B222" s="10">
        <f>VLOOKUP(przech_odp_druzyny[[#This Row],[Drużyny]],druzyny!A:C,2)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Row],[Drużyny]],druzyny!A:C,2)</f>
        <v>20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Row],[Drużyny]],druzyny!A:C,2)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Row],[Drużyny]],druzyny!A:C,2)</f>
        <v>16</v>
      </c>
      <c r="C225">
        <v>192</v>
      </c>
      <c r="D225">
        <v>224</v>
      </c>
    </row>
    <row r="226" spans="1:4" x14ac:dyDescent="0.2">
      <c r="A226" s="10" t="s">
        <v>122</v>
      </c>
      <c r="B226" s="10">
        <f>VLOOKUP(przech_odp_druzyny[[#This Row],[Drużyny]],druzyny!A:C,2)</f>
        <v>23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Row],[Drużyny]],druzyny!A:C,2)</f>
        <v>20</v>
      </c>
      <c r="C227">
        <v>194</v>
      </c>
      <c r="D227">
        <v>226</v>
      </c>
    </row>
    <row r="228" spans="1:4" x14ac:dyDescent="0.2">
      <c r="A228" s="10" t="s">
        <v>122</v>
      </c>
      <c r="B228" s="10">
        <f>VLOOKUP(przech_odp_druzyny[[#This Row],[Drużyny]],druzyny!A:C,2)</f>
        <v>23</v>
      </c>
      <c r="C228">
        <v>195</v>
      </c>
      <c r="D228">
        <v>227</v>
      </c>
    </row>
    <row r="229" spans="1:4" x14ac:dyDescent="0.2">
      <c r="A229" s="10" t="s">
        <v>43</v>
      </c>
      <c r="B229" s="10">
        <f>VLOOKUP(przech_odp_druzyny[[#This Row],[Drużyny]],druzyny!A:C,2)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Row],[Drużyny]],druzyny!A:C,2)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Row],[Drużyny]],druzyny!A:C,2)</f>
        <v>20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Row],[Drużyny]],druzyny!A:C,2)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workbookViewId="0">
      <selection activeCell="B2" sqref="B2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9.42578125" bestFit="1" customWidth="1"/>
    <col min="4" max="4" width="31.7109375" bestFit="1" customWidth="1"/>
    <col min="5" max="5" width="32" bestFit="1" customWidth="1"/>
  </cols>
  <sheetData>
    <row r="1" spans="1:4" x14ac:dyDescent="0.2">
      <c r="A1" t="s">
        <v>89</v>
      </c>
      <c r="B1" s="11" t="s">
        <v>217</v>
      </c>
      <c r="C1" t="s">
        <v>199</v>
      </c>
      <c r="D1" t="s">
        <v>218</v>
      </c>
    </row>
    <row r="2" spans="1:4" x14ac:dyDescent="0.2">
      <c r="A2" s="10" t="s">
        <v>30</v>
      </c>
      <c r="B2" s="10">
        <f>VLOOKUP(przech_odp_gry_turniejowe[[#This Row],[Gry turniej]],gry_turniejowe[],2)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VLOOKUP(przech_odp_gry_turniejowe[[#This Row],[Gry turniej]],gry_turniejowe[],2)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VLOOKUP(przech_odp_gry_turniejowe[[#This Row],[Gry turniej]],gry_turniejowe[],2)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VLOOKUP(przech_odp_gry_turniejowe[[#This Row],[Gry turniej]],gry_turniejowe[],2)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VLOOKUP(przech_odp_gry_turniejowe[[#This Row],[Gry turniej]],gry_turniejowe[],2)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VLOOKUP(przech_odp_gry_turniejowe[[#This Row],[Gry turniej]],gry_turniejowe[],2)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VLOOKUP(przech_odp_gry_turniejowe[[#This Row],[Gry turniej]],gry_turniejowe[],2)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VLOOKUP(przech_odp_gry_turniejowe[[#This Row],[Gry turniej]],gry_turniejowe[],2)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VLOOKUP(przech_odp_gry_turniejowe[[#This Row],[Gry turniej]],gry_turniejowe[],2)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VLOOKUP(przech_odp_gry_turniejowe[[#This Row],[Gry turniej]],gry_turniejowe[],2)</f>
        <v>15</v>
      </c>
      <c r="C11">
        <v>7</v>
      </c>
      <c r="D11">
        <v>10</v>
      </c>
    </row>
    <row r="12" spans="1:4" x14ac:dyDescent="0.2">
      <c r="A12" s="10" t="s">
        <v>91</v>
      </c>
      <c r="B12" s="10">
        <f>VLOOKUP(przech_odp_gry_turniejowe[[#This Row],[Gry turniej]],gry_turniejowe[],2)</f>
        <v>16</v>
      </c>
      <c r="C12">
        <v>7</v>
      </c>
      <c r="D12">
        <v>11</v>
      </c>
    </row>
    <row r="13" spans="1:4" x14ac:dyDescent="0.2">
      <c r="A13" s="10" t="s">
        <v>91</v>
      </c>
      <c r="B13" s="10">
        <f>VLOOKUP(przech_odp_gry_turniejowe[[#This Row],[Gry turniej]],gry_turniejowe[],2)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VLOOKUP(przech_odp_gry_turniejowe[[#This Row],[Gry turniej]],gry_turniejowe[],2)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VLOOKUP(przech_odp_gry_turniejowe[[#This Row],[Gry turniej]],gry_turniejowe[],2)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VLOOKUP(przech_odp_gry_turniejowe[[#This Row],[Gry turniej]],gry_turniejowe[],2)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VLOOKUP(przech_odp_gry_turniejowe[[#This Row],[Gry turniej]],gry_turniejowe[],2)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VLOOKUP(przech_odp_gry_turniejowe[[#This Row],[Gry turniej]],gry_turniejowe[],2)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VLOOKUP(przech_odp_gry_turniejowe[[#This Row],[Gry turniej]],gry_turniejowe[],2)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VLOOKUP(przech_odp_gry_turniejowe[[#This Row],[Gry turniej]],gry_turniejowe[],2)</f>
        <v>3</v>
      </c>
      <c r="C20">
        <v>12</v>
      </c>
      <c r="D20">
        <v>19</v>
      </c>
    </row>
    <row r="21" spans="1:4" x14ac:dyDescent="0.2">
      <c r="A21" s="10" t="s">
        <v>91</v>
      </c>
      <c r="B21" s="10">
        <f>VLOOKUP(przech_odp_gry_turniejowe[[#This Row],[Gry turniej]],gry_turniejowe[],2)</f>
        <v>16</v>
      </c>
      <c r="C21">
        <v>13</v>
      </c>
      <c r="D21">
        <v>20</v>
      </c>
    </row>
    <row r="22" spans="1:4" x14ac:dyDescent="0.2">
      <c r="A22" s="10" t="s">
        <v>188</v>
      </c>
      <c r="B22" s="10">
        <f>VLOOKUP(przech_odp_gry_turniejowe[[#This Row],[Gry turniej]],gry_turniejowe[],2)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VLOOKUP(przech_odp_gry_turniejowe[[#This Row],[Gry turniej]],gry_turniejowe[],2)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VLOOKUP(przech_odp_gry_turniejowe[[#This Row],[Gry turniej]],gry_turniejowe[],2)</f>
        <v>21</v>
      </c>
      <c r="C24">
        <v>15</v>
      </c>
      <c r="D24">
        <v>23</v>
      </c>
    </row>
    <row r="25" spans="1:4" x14ac:dyDescent="0.2">
      <c r="A25" s="10" t="s">
        <v>38</v>
      </c>
      <c r="B25" s="10">
        <f>VLOOKUP(przech_odp_gry_turniejowe[[#This Row],[Gry turniej]],gry_turniejowe[],2)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VLOOKUP(przech_odp_gry_turniejowe[[#This Row],[Gry turniej]],gry_turniejowe[],2)</f>
        <v>21</v>
      </c>
      <c r="C26">
        <v>17</v>
      </c>
      <c r="D26">
        <v>25</v>
      </c>
    </row>
    <row r="27" spans="1:4" x14ac:dyDescent="0.2">
      <c r="A27" s="10" t="s">
        <v>48</v>
      </c>
      <c r="B27" s="10">
        <f>VLOOKUP(przech_odp_gry_turniejowe[[#This Row],[Gry turniej]],gry_turniejowe[],2)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VLOOKUP(przech_odp_gry_turniejowe[[#This Row],[Gry turniej]],gry_turniejowe[],2)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VLOOKUP(przech_odp_gry_turniejowe[[#This Row],[Gry turniej]],gry_turniejowe[],2)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VLOOKUP(przech_odp_gry_turniejowe[[#This Row],[Gry turniej]],gry_turniejowe[],2)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VLOOKUP(przech_odp_gry_turniejowe[[#This Row],[Gry turniej]],gry_turniejowe[],2)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VLOOKUP(przech_odp_gry_turniejowe[[#This Row],[Gry turniej]],gry_turniejowe[],2)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VLOOKUP(przech_odp_gry_turniejowe[[#This Row],[Gry turniej]],gry_turniejowe[],2)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VLOOKUP(przech_odp_gry_turniejowe[[#This Row],[Gry turniej]],gry_turniejowe[],2)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VLOOKUP(przech_odp_gry_turniejowe[[#This Row],[Gry turniej]],gry_turniejowe[],2)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VLOOKUP(przech_odp_gry_turniejowe[[#This Row],[Gry turniej]],gry_turniejowe[],2)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VLOOKUP(przech_odp_gry_turniejowe[[#This Row],[Gry turniej]],gry_turniejowe[],2)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VLOOKUP(przech_odp_gry_turniejowe[[#This Row],[Gry turniej]],gry_turniejowe[],2)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VLOOKUP(przech_odp_gry_turniejowe[[#This Row],[Gry turniej]],gry_turniejowe[],2)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VLOOKUP(przech_odp_gry_turniejowe[[#This Row],[Gry turniej]],gry_turniejowe[],2)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VLOOKUP(przech_odp_gry_turniejowe[[#This Row],[Gry turniej]],gry_turniejowe[],2)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VLOOKUP(przech_odp_gry_turniejowe[[#This Row],[Gry turniej]],gry_turniejowe[],2)</f>
        <v>3</v>
      </c>
      <c r="C42">
        <v>30</v>
      </c>
      <c r="D42">
        <v>41</v>
      </c>
    </row>
    <row r="43" spans="1:4" x14ac:dyDescent="0.2">
      <c r="A43" s="10" t="s">
        <v>48</v>
      </c>
      <c r="B43" s="10">
        <f>VLOOKUP(przech_odp_gry_turniejowe[[#This Row],[Gry turniej]],gry_turniejowe[],2)</f>
        <v>4</v>
      </c>
      <c r="C43">
        <v>31</v>
      </c>
      <c r="D43">
        <v>42</v>
      </c>
    </row>
    <row r="44" spans="1:4" x14ac:dyDescent="0.2">
      <c r="A44" s="10" t="s">
        <v>53</v>
      </c>
      <c r="B44" s="10">
        <f>VLOOKUP(przech_odp_gry_turniejowe[[#This Row],[Gry turniej]],gry_turniejowe[],2)</f>
        <v>18</v>
      </c>
      <c r="C44">
        <v>32</v>
      </c>
      <c r="D44">
        <v>43</v>
      </c>
    </row>
    <row r="45" spans="1:4" x14ac:dyDescent="0.2">
      <c r="A45" s="10" t="s">
        <v>189</v>
      </c>
      <c r="B45" s="10">
        <f>VLOOKUP(przech_odp_gry_turniejowe[[#This Row],[Gry turniej]],gry_turniejowe[],2)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VLOOKUP(przech_odp_gry_turniejowe[[#This Row],[Gry turniej]],gry_turniejowe[],2)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VLOOKUP(przech_odp_gry_turniejowe[[#This Row],[Gry turniej]],gry_turniejowe[],2)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VLOOKUP(przech_odp_gry_turniejowe[[#This Row],[Gry turniej]],gry_turniejowe[],2)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VLOOKUP(przech_odp_gry_turniejowe[[#This Row],[Gry turniej]],gry_turniejowe[],2)</f>
        <v>15</v>
      </c>
      <c r="C49">
        <v>35</v>
      </c>
      <c r="D49">
        <v>48</v>
      </c>
    </row>
    <row r="50" spans="1:4" x14ac:dyDescent="0.2">
      <c r="A50" s="10" t="s">
        <v>45</v>
      </c>
      <c r="B50" s="10">
        <f>VLOOKUP(przech_odp_gry_turniejowe[[#This Row],[Gry turniej]],gry_turniejowe[],2)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VLOOKUP(przech_odp_gry_turniejowe[[#This Row],[Gry turniej]],gry_turniejowe[],2)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VLOOKUP(przech_odp_gry_turniejowe[[#This Row],[Gry turniej]],gry_turniejowe[],2)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VLOOKUP(przech_odp_gry_turniejowe[[#This Row],[Gry turniej]],gry_turniejowe[],2)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VLOOKUP(przech_odp_gry_turniejowe[[#This Row],[Gry turniej]],gry_turniejowe[],2)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VLOOKUP(przech_odp_gry_turniejowe[[#This Row],[Gry turniej]],gry_turniejowe[],2)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VLOOKUP(przech_odp_gry_turniejowe[[#This Row],[Gry turniej]],gry_turniejowe[],2)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VLOOKUP(przech_odp_gry_turniejowe[[#This Row],[Gry turniej]],gry_turniejowe[],2)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VLOOKUP(przech_odp_gry_turniejowe[[#This Row],[Gry turniej]],gry_turniejowe[],2)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VLOOKUP(przech_odp_gry_turniejowe[[#This Row],[Gry turniej]],gry_turniejowe[],2)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VLOOKUP(przech_odp_gry_turniejowe[[#This Row],[Gry turniej]],gry_turniejowe[],2)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VLOOKUP(przech_odp_gry_turniejowe[[#This Row],[Gry turniej]],gry_turniejowe[],2)</f>
        <v>31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VLOOKUP(przech_odp_gry_turniejowe[[#This Row],[Gry turniej]],gry_turniejowe[],2)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VLOOKUP(przech_odp_gry_turniejowe[[#This Row],[Gry turniej]],gry_turniejowe[],2)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VLOOKUP(przech_odp_gry_turniejowe[[#This Row],[Gry turniej]],gry_turniejowe[],2)</f>
        <v>21</v>
      </c>
      <c r="C64">
        <v>49</v>
      </c>
      <c r="D64">
        <v>63</v>
      </c>
    </row>
    <row r="65" spans="1:4" x14ac:dyDescent="0.2">
      <c r="A65" s="10" t="s">
        <v>38</v>
      </c>
      <c r="B65" s="10">
        <f>VLOOKUP(przech_odp_gry_turniejowe[[#This Row],[Gry turniej]],gry_turniejowe[],2)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VLOOKUP(przech_odp_gry_turniejowe[[#This Row],[Gry turniej]],gry_turniejowe[],2)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VLOOKUP(przech_odp_gry_turniejowe[[#This Row],[Gry turniej]],gry_turniejowe[],2)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VLOOKUP(przech_odp_gry_turniejowe[[#This Row],[Gry turniej]],gry_turniejowe[],2)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VLOOKUP(przech_odp_gry_turniejowe[[#This Row],[Gry turniej]],gry_turniejowe[],2)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VLOOKUP(przech_odp_gry_turniejowe[[#This Row],[Gry turniej]],gry_turniejowe[],2)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VLOOKUP(przech_odp_gry_turniejowe[[#This Row],[Gry turniej]],gry_turniejowe[],2)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VLOOKUP(przech_odp_gry_turniejowe[[#This Row],[Gry turniej]],gry_turniejowe[],2)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VLOOKUP(przech_odp_gry_turniejowe[[#This Row],[Gry turniej]],gry_turniejowe[],2)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VLOOKUP(przech_odp_gry_turniejowe[[#This Row],[Gry turniej]],gry_turniejowe[],2)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VLOOKUP(przech_odp_gry_turniejowe[[#This Row],[Gry turniej]],gry_turniejowe[],2)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VLOOKUP(przech_odp_gry_turniejowe[[#This Row],[Gry turniej]],gry_turniejowe[],2)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VLOOKUP(przech_odp_gry_turniejowe[[#This Row],[Gry turniej]],gry_turniejowe[],2)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VLOOKUP(przech_odp_gry_turniejowe[[#This Row],[Gry turniej]],gry_turniejowe[],2)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VLOOKUP(przech_odp_gry_turniejowe[[#This Row],[Gry turniej]],gry_turniejowe[],2)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VLOOKUP(przech_odp_gry_turniejowe[[#This Row],[Gry turniej]],gry_turniejowe[],2)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VLOOKUP(przech_odp_gry_turniejowe[[#This Row],[Gry turniej]],gry_turniejowe[],2)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VLOOKUP(przech_odp_gry_turniejowe[[#This Row],[Gry turniej]],gry_turniejowe[],2)</f>
        <v>21</v>
      </c>
      <c r="C82">
        <v>64</v>
      </c>
      <c r="D82">
        <v>81</v>
      </c>
    </row>
    <row r="83" spans="1:4" x14ac:dyDescent="0.2">
      <c r="A83" s="10" t="s">
        <v>94</v>
      </c>
      <c r="B83" s="10">
        <f>VLOOKUP(przech_odp_gry_turniejowe[[#This Row],[Gry turniej]],gry_turniejowe[],2)</f>
        <v>28</v>
      </c>
      <c r="C83">
        <v>65</v>
      </c>
      <c r="D83">
        <v>82</v>
      </c>
    </row>
    <row r="84" spans="1:4" x14ac:dyDescent="0.2">
      <c r="A84" s="10" t="s">
        <v>167</v>
      </c>
      <c r="B84" s="10">
        <f>VLOOKUP(przech_odp_gry_turniejowe[[#This Row],[Gry turniej]],gry_turniejowe[],2)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VLOOKUP(przech_odp_gry_turniejowe[[#This Row],[Gry turniej]],gry_turniejowe[],2)</f>
        <v>15</v>
      </c>
      <c r="C85">
        <v>66</v>
      </c>
      <c r="D85">
        <v>84</v>
      </c>
    </row>
    <row r="86" spans="1:4" x14ac:dyDescent="0.2">
      <c r="A86" s="10" t="s">
        <v>45</v>
      </c>
      <c r="B86" s="10">
        <f>VLOOKUP(przech_odp_gry_turniejowe[[#This Row],[Gry turniej]],gry_turniejowe[],2)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VLOOKUP(przech_odp_gry_turniejowe[[#This Row],[Gry turniej]],gry_turniejowe[],2)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VLOOKUP(przech_odp_gry_turniejowe[[#This Row],[Gry turniej]],gry_turniejowe[],2)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VLOOKUP(przech_odp_gry_turniejowe[[#This Row],[Gry turniej]],gry_turniejowe[],2)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VLOOKUP(przech_odp_gry_turniejowe[[#This Row],[Gry turniej]],gry_turniejowe[],2)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VLOOKUP(przech_odp_gry_turniejowe[[#This Row],[Gry turniej]],gry_turniejowe[],2)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VLOOKUP(przech_odp_gry_turniejowe[[#This Row],[Gry turniej]],gry_turniejowe[],2)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VLOOKUP(przech_odp_gry_turniejowe[[#This Row],[Gry turniej]],gry_turniejowe[],2)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VLOOKUP(przech_odp_gry_turniejowe[[#This Row],[Gry turniej]],gry_turniejowe[],2)</f>
        <v>14</v>
      </c>
      <c r="C94">
        <v>74</v>
      </c>
      <c r="D94">
        <v>93</v>
      </c>
    </row>
    <row r="95" spans="1:4" x14ac:dyDescent="0.2">
      <c r="A95" s="10" t="s">
        <v>45</v>
      </c>
      <c r="B95" s="10">
        <f>VLOOKUP(przech_odp_gry_turniejowe[[#This Row],[Gry turniej]],gry_turniejowe[],2)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VLOOKUP(przech_odp_gry_turniejowe[[#This Row],[Gry turniej]],gry_turniejowe[],2)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VLOOKUP(przech_odp_gry_turniejowe[[#This Row],[Gry turniej]],gry_turniejowe[],2)</f>
        <v>3</v>
      </c>
      <c r="C97">
        <v>75</v>
      </c>
      <c r="D97">
        <v>96</v>
      </c>
    </row>
    <row r="98" spans="1:4" x14ac:dyDescent="0.2">
      <c r="A98" s="10" t="s">
        <v>48</v>
      </c>
      <c r="B98" s="10">
        <f>VLOOKUP(przech_odp_gry_turniejowe[[#This Row],[Gry turniej]],gry_turniejowe[],2)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VLOOKUP(przech_odp_gry_turniejowe[[#This Row],[Gry turniej]],gry_turniejowe[],2)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VLOOKUP(przech_odp_gry_turniejowe[[#This Row],[Gry turniej]],gry_turniejowe[],2)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VLOOKUP(przech_odp_gry_turniejowe[[#This Row],[Gry turniej]],gry_turniejowe[],2)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VLOOKUP(przech_odp_gry_turniejowe[[#This Row],[Gry turniej]],gry_turniejowe[],2)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VLOOKUP(przech_odp_gry_turniejowe[[#This Row],[Gry turniej]],gry_turniejowe[],2)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VLOOKUP(przech_odp_gry_turniejowe[[#This Row],[Gry turniej]],gry_turniejowe[],2)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VLOOKUP(przech_odp_gry_turniejowe[[#This Row],[Gry turniej]],gry_turniejowe[],2)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VLOOKUP(przech_odp_gry_turniejowe[[#This Row],[Gry turniej]],gry_turniejowe[],2)</f>
        <v>15</v>
      </c>
      <c r="C106">
        <v>81</v>
      </c>
      <c r="D106">
        <v>105</v>
      </c>
    </row>
    <row r="107" spans="1:4" x14ac:dyDescent="0.2">
      <c r="A107" s="10" t="s">
        <v>111</v>
      </c>
      <c r="B107" s="10">
        <f>VLOOKUP(przech_odp_gry_turniejowe[[#This Row],[Gry turniej]],gry_turniejowe[],2)</f>
        <v>1</v>
      </c>
      <c r="C107">
        <v>81</v>
      </c>
      <c r="D107">
        <v>106</v>
      </c>
    </row>
    <row r="108" spans="1:4" x14ac:dyDescent="0.2">
      <c r="A108" s="10" t="s">
        <v>48</v>
      </c>
      <c r="B108" s="10">
        <f>VLOOKUP(przech_odp_gry_turniejowe[[#This Row],[Gry turniej]],gry_turniejowe[],2)</f>
        <v>4</v>
      </c>
      <c r="C108">
        <v>81</v>
      </c>
      <c r="D108">
        <v>107</v>
      </c>
    </row>
    <row r="109" spans="1:4" x14ac:dyDescent="0.2">
      <c r="A109" s="10" t="s">
        <v>184</v>
      </c>
      <c r="B109" s="10">
        <f>VLOOKUP(przech_odp_gry_turniejowe[[#This Row],[Gry turniej]],gry_turniejowe[],2)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VLOOKUP(przech_odp_gry_turniejowe[[#This Row],[Gry turniej]],gry_turniejowe[],2)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VLOOKUP(przech_odp_gry_turniejowe[[#This Row],[Gry turniej]],gry_turniejowe[],2)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VLOOKUP(przech_odp_gry_turniejowe[[#This Row],[Gry turniej]],gry_turniejowe[],2)</f>
        <v>14</v>
      </c>
      <c r="C112">
        <v>83</v>
      </c>
      <c r="D112">
        <v>111</v>
      </c>
    </row>
    <row r="113" spans="1:4" x14ac:dyDescent="0.2">
      <c r="A113" s="10" t="s">
        <v>45</v>
      </c>
      <c r="B113" s="10">
        <f>VLOOKUP(przech_odp_gry_turniejowe[[#This Row],[Gry turniej]],gry_turniejowe[],2)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VLOOKUP(przech_odp_gry_turniejowe[[#This Row],[Gry turniej]],gry_turniejowe[],2)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VLOOKUP(przech_odp_gry_turniejowe[[#This Row],[Gry turniej]],gry_turniejowe[],2)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VLOOKUP(przech_odp_gry_turniejowe[[#This Row],[Gry turniej]],gry_turniejowe[],2)</f>
        <v>3</v>
      </c>
      <c r="C116">
        <v>86</v>
      </c>
      <c r="D116">
        <v>115</v>
      </c>
    </row>
    <row r="117" spans="1:4" x14ac:dyDescent="0.2">
      <c r="A117" s="10" t="s">
        <v>48</v>
      </c>
      <c r="B117" s="10">
        <f>VLOOKUP(przech_odp_gry_turniejowe[[#This Row],[Gry turniej]],gry_turniejowe[],2)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VLOOKUP(przech_odp_gry_turniejowe[[#This Row],[Gry turniej]],gry_turniejowe[],2)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VLOOKUP(przech_odp_gry_turniejowe[[#This Row],[Gry turniej]],gry_turniejowe[],2)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VLOOKUP(przech_odp_gry_turniejowe[[#This Row],[Gry turniej]],gry_turniejowe[],2)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VLOOKUP(przech_odp_gry_turniejowe[[#This Row],[Gry turniej]],gry_turniejowe[],2)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VLOOKUP(przech_odp_gry_turniejowe[[#This Row],[Gry turniej]],gry_turniejowe[],2)</f>
        <v>3</v>
      </c>
      <c r="C122">
        <v>92</v>
      </c>
      <c r="D122">
        <v>121</v>
      </c>
    </row>
    <row r="123" spans="1:4" x14ac:dyDescent="0.2">
      <c r="A123" s="10" t="s">
        <v>168</v>
      </c>
      <c r="B123" s="10">
        <f>VLOOKUP(przech_odp_gry_turniejowe[[#This Row],[Gry turniej]],gry_turniejowe[],2)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VLOOKUP(przech_odp_gry_turniejowe[[#This Row],[Gry turniej]],gry_turniejowe[],2)</f>
        <v>3</v>
      </c>
      <c r="C124">
        <v>93</v>
      </c>
      <c r="D124">
        <v>123</v>
      </c>
    </row>
    <row r="125" spans="1:4" x14ac:dyDescent="0.2">
      <c r="A125" s="10" t="s">
        <v>48</v>
      </c>
      <c r="B125" s="10">
        <f>VLOOKUP(przech_odp_gry_turniejowe[[#This Row],[Gry turniej]],gry_turniejowe[],2)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VLOOKUP(przech_odp_gry_turniejowe[[#This Row],[Gry turniej]],gry_turniejowe[],2)</f>
        <v>21</v>
      </c>
      <c r="C126">
        <v>94</v>
      </c>
      <c r="D126">
        <v>125</v>
      </c>
    </row>
    <row r="127" spans="1:4" x14ac:dyDescent="0.2">
      <c r="A127" s="10" t="s">
        <v>53</v>
      </c>
      <c r="B127" s="10">
        <f>VLOOKUP(przech_odp_gry_turniejowe[[#This Row],[Gry turniej]],gry_turniejowe[],2)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VLOOKUP(przech_odp_gry_turniejowe[[#This Row],[Gry turniej]],gry_turniejowe[],2)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VLOOKUP(przech_odp_gry_turniejowe[[#This Row],[Gry turniej]],gry_turniejowe[],2)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VLOOKUP(przech_odp_gry_turniejowe[[#This Row],[Gry turniej]],gry_turniejowe[],2)</f>
        <v>15</v>
      </c>
      <c r="C130">
        <v>98</v>
      </c>
      <c r="D130">
        <v>129</v>
      </c>
    </row>
    <row r="131" spans="1:4" x14ac:dyDescent="0.2">
      <c r="A131" s="10" t="s">
        <v>95</v>
      </c>
      <c r="B131" s="10">
        <f>VLOOKUP(przech_odp_gry_turniejowe[[#This Row],[Gry turniej]],gry_turniejowe[],2)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VLOOKUP(przech_odp_gry_turniejowe[[#This Row],[Gry turniej]],gry_turniejowe[],2)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VLOOKUP(przech_odp_gry_turniejowe[[#This Row],[Gry turniej]],gry_turniejowe[],2)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VLOOKUP(przech_odp_gry_turniejowe[[#This Row],[Gry turniej]],gry_turniejowe[],2)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VLOOKUP(przech_odp_gry_turniejowe[[#This Row],[Gry turniej]],gry_turniejowe[],2)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VLOOKUP(przech_odp_gry_turniejowe[[#This Row],[Gry turniej]],gry_turniejowe[],2)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VLOOKUP(przech_odp_gry_turniejowe[[#This Row],[Gry turniej]],gry_turniejowe[],2)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VLOOKUP(przech_odp_gry_turniejowe[[#This Row],[Gry turniej]],gry_turniejowe[],2)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VLOOKUP(przech_odp_gry_turniejowe[[#This Row],[Gry turniej]],gry_turniejowe[],2)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VLOOKUP(przech_odp_gry_turniejowe[[#This Row],[Gry turniej]],gry_turniejowe[],2)</f>
        <v>21</v>
      </c>
      <c r="C140">
        <v>106</v>
      </c>
      <c r="D140">
        <v>139</v>
      </c>
    </row>
    <row r="141" spans="1:4" x14ac:dyDescent="0.2">
      <c r="A141" s="10" t="s">
        <v>65</v>
      </c>
      <c r="B141" s="10">
        <f>VLOOKUP(przech_odp_gry_turniejowe[[#This Row],[Gry turniej]],gry_turniejowe[],2)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VLOOKUP(przech_odp_gry_turniejowe[[#This Row],[Gry turniej]],gry_turniejowe[],2)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VLOOKUP(przech_odp_gry_turniejowe[[#This Row],[Gry turniej]],gry_turniejowe[],2)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VLOOKUP(przech_odp_gry_turniejowe[[#This Row],[Gry turniej]],gry_turniejowe[],2)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VLOOKUP(przech_odp_gry_turniejowe[[#This Row],[Gry turniej]],gry_turniejowe[],2)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VLOOKUP(przech_odp_gry_turniejowe[[#This Row],[Gry turniej]],gry_turniejowe[],2)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VLOOKUP(przech_odp_gry_turniejowe[[#This Row],[Gry turniej]],gry_turniejowe[],2)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VLOOKUP(przech_odp_gry_turniejowe[[#This Row],[Gry turniej]],gry_turniejowe[],2)</f>
        <v>14</v>
      </c>
      <c r="C148">
        <v>112</v>
      </c>
      <c r="D148">
        <v>147</v>
      </c>
    </row>
    <row r="149" spans="1:4" x14ac:dyDescent="0.2">
      <c r="A149" s="10" t="s">
        <v>48</v>
      </c>
      <c r="B149" s="10">
        <f>VLOOKUP(przech_odp_gry_turniejowe[[#This Row],[Gry turniej]],gry_turniejowe[],2)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VLOOKUP(przech_odp_gry_turniejowe[[#This Row],[Gry turniej]],gry_turniejowe[],2)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VLOOKUP(przech_odp_gry_turniejowe[[#This Row],[Gry turniej]],gry_turniejowe[],2)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VLOOKUP(przech_odp_gry_turniejowe[[#This Row],[Gry turniej]],gry_turniejowe[],2)</f>
        <v>3</v>
      </c>
      <c r="C152">
        <v>114</v>
      </c>
      <c r="D152">
        <v>151</v>
      </c>
    </row>
    <row r="153" spans="1:4" x14ac:dyDescent="0.2">
      <c r="A153" s="10" t="s">
        <v>169</v>
      </c>
      <c r="B153" s="10">
        <f>VLOOKUP(przech_odp_gry_turniejowe[[#This Row],[Gry turniej]],gry_turniejowe[],2)</f>
        <v>5</v>
      </c>
      <c r="C153">
        <v>114</v>
      </c>
      <c r="D153">
        <v>152</v>
      </c>
    </row>
    <row r="154" spans="1:4" x14ac:dyDescent="0.2">
      <c r="A154" s="10" t="s">
        <v>187</v>
      </c>
      <c r="B154" s="10">
        <f>VLOOKUP(przech_odp_gry_turniejowe[[#This Row],[Gry turniej]],gry_turniejowe[],2)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VLOOKUP(przech_odp_gry_turniejowe[[#This Row],[Gry turniej]],gry_turniejowe[],2)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VLOOKUP(przech_odp_gry_turniejowe[[#This Row],[Gry turniej]],gry_turniejowe[],2)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VLOOKUP(przech_odp_gry_turniejowe[[#This Row],[Gry turniej]],gry_turniejowe[],2)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VLOOKUP(przech_odp_gry_turniejowe[[#This Row],[Gry turniej]],gry_turniejowe[],2)</f>
        <v>14</v>
      </c>
      <c r="C158">
        <v>116</v>
      </c>
      <c r="D158">
        <v>157</v>
      </c>
    </row>
    <row r="159" spans="1:4" x14ac:dyDescent="0.2">
      <c r="A159" s="10" t="s">
        <v>48</v>
      </c>
      <c r="B159" s="10">
        <f>VLOOKUP(przech_odp_gry_turniejowe[[#This Row],[Gry turniej]],gry_turniejowe[],2)</f>
        <v>4</v>
      </c>
      <c r="C159">
        <v>117</v>
      </c>
      <c r="D159">
        <v>158</v>
      </c>
    </row>
    <row r="160" spans="1:4" x14ac:dyDescent="0.2">
      <c r="A160" s="10" t="s">
        <v>170</v>
      </c>
      <c r="B160" s="10">
        <f>VLOOKUP(przech_odp_gry_turniejowe[[#This Row],[Gry turniej]],gry_turniejowe[],2)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VLOOKUP(przech_odp_gry_turniejowe[[#This Row],[Gry turniej]],gry_turniejowe[],2)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VLOOKUP(przech_odp_gry_turniejowe[[#This Row],[Gry turniej]],gry_turniejowe[],2)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VLOOKUP(przech_odp_gry_turniejowe[[#This Row],[Gry turniej]],gry_turniejowe[],2)</f>
        <v>21</v>
      </c>
      <c r="C163">
        <v>120</v>
      </c>
      <c r="D163">
        <v>162</v>
      </c>
    </row>
    <row r="164" spans="1:4" x14ac:dyDescent="0.2">
      <c r="A164" s="10" t="s">
        <v>48</v>
      </c>
      <c r="B164" s="10">
        <f>VLOOKUP(przech_odp_gry_turniejowe[[#This Row],[Gry turniej]],gry_turniejowe[],2)</f>
        <v>4</v>
      </c>
      <c r="C164">
        <v>121</v>
      </c>
      <c r="D164">
        <v>163</v>
      </c>
    </row>
    <row r="165" spans="1:4" x14ac:dyDescent="0.2">
      <c r="A165" s="10" t="s">
        <v>171</v>
      </c>
      <c r="B165" s="10">
        <f>VLOOKUP(przech_odp_gry_turniejowe[[#This Row],[Gry turniej]],gry_turniejowe[],2)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VLOOKUP(przech_odp_gry_turniejowe[[#This Row],[Gry turniej]],gry_turniejowe[],2)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VLOOKUP(przech_odp_gry_turniejowe[[#This Row],[Gry turniej]],gry_turniejowe[],2)</f>
        <v>15</v>
      </c>
      <c r="C167">
        <v>123</v>
      </c>
      <c r="D167">
        <v>166</v>
      </c>
    </row>
    <row r="168" spans="1:4" x14ac:dyDescent="0.2">
      <c r="A168" s="10" t="s">
        <v>81</v>
      </c>
      <c r="B168" s="10">
        <f>VLOOKUP(przech_odp_gry_turniejowe[[#This Row],[Gry turniej]],gry_turniejowe[],2)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VLOOKUP(przech_odp_gry_turniejowe[[#This Row],[Gry turniej]],gry_turniejowe[],2)</f>
        <v>21</v>
      </c>
      <c r="C169">
        <v>125</v>
      </c>
      <c r="D169">
        <v>168</v>
      </c>
    </row>
    <row r="170" spans="1:4" x14ac:dyDescent="0.2">
      <c r="A170" s="10" t="s">
        <v>111</v>
      </c>
      <c r="B170" s="10">
        <f>VLOOKUP(przech_odp_gry_turniejowe[[#This Row],[Gry turniej]],gry_turniejowe[],2)</f>
        <v>1</v>
      </c>
      <c r="C170">
        <v>126</v>
      </c>
      <c r="D170">
        <v>169</v>
      </c>
    </row>
    <row r="171" spans="1:4" x14ac:dyDescent="0.2">
      <c r="A171" s="10" t="s">
        <v>168</v>
      </c>
      <c r="B171" s="10">
        <f>VLOOKUP(przech_odp_gry_turniejowe[[#This Row],[Gry turniej]],gry_turniejowe[],2)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VLOOKUP(przech_odp_gry_turniejowe[[#This Row],[Gry turniej]],gry_turniejowe[],2)</f>
        <v>15</v>
      </c>
      <c r="C172">
        <v>127</v>
      </c>
      <c r="D172">
        <v>171</v>
      </c>
    </row>
    <row r="173" spans="1:4" x14ac:dyDescent="0.2">
      <c r="A173" s="10" t="s">
        <v>118</v>
      </c>
      <c r="B173" s="10">
        <f>VLOOKUP(przech_odp_gry_turniejowe[[#This Row],[Gry turniej]],gry_turniejowe[],2)</f>
        <v>13</v>
      </c>
      <c r="C173">
        <v>128</v>
      </c>
      <c r="D173">
        <v>172</v>
      </c>
    </row>
    <row r="174" spans="1:4" x14ac:dyDescent="0.2">
      <c r="A174" s="10" t="s">
        <v>173</v>
      </c>
      <c r="B174" s="10">
        <f>VLOOKUP(przech_odp_gry_turniejowe[[#This Row],[Gry turniej]],gry_turniejowe[],2)</f>
        <v>25</v>
      </c>
      <c r="C174">
        <v>129</v>
      </c>
      <c r="D174">
        <v>173</v>
      </c>
    </row>
    <row r="175" spans="1:4" x14ac:dyDescent="0.2">
      <c r="A175" s="10" t="s">
        <v>190</v>
      </c>
      <c r="B175" s="10">
        <f>VLOOKUP(przech_odp_gry_turniejowe[[#This Row],[Gry turniej]],gry_turniejowe[],2)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VLOOKUP(przech_odp_gry_turniejowe[[#This Row],[Gry turniej]],gry_turniejowe[],2)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VLOOKUP(przech_odp_gry_turniejowe[[#This Row],[Gry turniej]],gry_turniejowe[],2)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VLOOKUP(przech_odp_gry_turniejowe[[#This Row],[Gry turniej]],gry_turniejowe[],2)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VLOOKUP(przech_odp_gry_turniejowe[[#This Row],[Gry turniej]],gry_turniejowe[],2)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VLOOKUP(przech_odp_gry_turniejowe[[#This Row],[Gry turniej]],gry_turniejowe[],2)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VLOOKUP(przech_odp_gry_turniejowe[[#This Row],[Gry turniej]],gry_turniejowe[],2)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VLOOKUP(przech_odp_gry_turniejowe[[#This Row],[Gry turniej]],gry_turniejowe[],2)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VLOOKUP(przech_odp_gry_turniejowe[[#This Row],[Gry turniej]],gry_turniejowe[],2)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VLOOKUP(przech_odp_gry_turniejowe[[#This Row],[Gry turniej]],gry_turniejowe[],2)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VLOOKUP(przech_odp_gry_turniejowe[[#This Row],[Gry turniej]],gry_turniejowe[],2)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VLOOKUP(przech_odp_gry_turniejowe[[#This Row],[Gry turniej]],gry_turniejowe[],2)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VLOOKUP(przech_odp_gry_turniejowe[[#This Row],[Gry turniej]],gry_turniejowe[],2)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VLOOKUP(przech_odp_gry_turniejowe[[#This Row],[Gry turniej]],gry_turniejowe[],2)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VLOOKUP(przech_odp_gry_turniejowe[[#This Row],[Gry turniej]],gry_turniejowe[],2)</f>
        <v>15</v>
      </c>
      <c r="C189">
        <v>139</v>
      </c>
      <c r="D189">
        <v>188</v>
      </c>
    </row>
    <row r="190" spans="1:4" x14ac:dyDescent="0.2">
      <c r="A190" s="10" t="s">
        <v>48</v>
      </c>
      <c r="B190" s="10">
        <f>VLOOKUP(przech_odp_gry_turniejowe[[#This Row],[Gry turniej]],gry_turniejowe[],2)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VLOOKUP(przech_odp_gry_turniejowe[[#This Row],[Gry turniej]],gry_turniejowe[],2)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VLOOKUP(przech_odp_gry_turniejowe[[#This Row],[Gry turniej]],gry_turniejowe[],2)</f>
        <v>3</v>
      </c>
      <c r="C192">
        <v>142</v>
      </c>
      <c r="D192">
        <v>191</v>
      </c>
    </row>
    <row r="193" spans="1:4" x14ac:dyDescent="0.2">
      <c r="A193" s="10" t="s">
        <v>65</v>
      </c>
      <c r="B193" s="10">
        <f>VLOOKUP(przech_odp_gry_turniejowe[[#This Row],[Gry turniej]],gry_turniejowe[],2)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VLOOKUP(przech_odp_gry_turniejowe[[#This Row],[Gry turniej]],gry_turniejowe[],2)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VLOOKUP(przech_odp_gry_turniejowe[[#This Row],[Gry turniej]],gry_turniejowe[],2)</f>
        <v>3</v>
      </c>
      <c r="C195">
        <v>143</v>
      </c>
      <c r="D195">
        <v>194</v>
      </c>
    </row>
    <row r="196" spans="1:4" x14ac:dyDescent="0.2">
      <c r="A196" s="10" t="s">
        <v>65</v>
      </c>
      <c r="B196" s="10">
        <f>VLOOKUP(przech_odp_gry_turniejowe[[#This Row],[Gry turniej]],gry_turniejowe[],2)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VLOOKUP(przech_odp_gry_turniejowe[[#This Row],[Gry turniej]],gry_turniejowe[],2)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VLOOKUP(przech_odp_gry_turniejowe[[#This Row],[Gry turniej]],gry_turniejowe[],2)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VLOOKUP(przech_odp_gry_turniejowe[[#This Row],[Gry turniej]],gry_turniejowe[],2)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VLOOKUP(przech_odp_gry_turniejowe[[#This Row],[Gry turniej]],gry_turniejowe[],2)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VLOOKUP(przech_odp_gry_turniejowe[[#This Row],[Gry turniej]],gry_turniejowe[],2)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VLOOKUP(przech_odp_gry_turniejowe[[#This Row],[Gry turniej]],gry_turniejowe[],2)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VLOOKUP(przech_odp_gry_turniejowe[[#This Row],[Gry turniej]],gry_turniejowe[],2)</f>
        <v>22</v>
      </c>
      <c r="C203">
        <v>148</v>
      </c>
      <c r="D203">
        <v>202</v>
      </c>
    </row>
    <row r="204" spans="1:4" x14ac:dyDescent="0.2">
      <c r="A204" s="10" t="s">
        <v>111</v>
      </c>
      <c r="B204" s="10">
        <f>VLOOKUP(przech_odp_gry_turniejowe[[#This Row],[Gry turniej]],gry_turniejowe[],2)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VLOOKUP(przech_odp_gry_turniejowe[[#This Row],[Gry turniej]],gry_turniejowe[],2)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VLOOKUP(przech_odp_gry_turniejowe[[#This Row],[Gry turniej]],gry_turniejowe[],2)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VLOOKUP(przech_odp_gry_turniejowe[[#This Row],[Gry turniej]],gry_turniejowe[],2)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VLOOKUP(przech_odp_gry_turniejowe[[#This Row],[Gry turniej]],gry_turniejowe[],2)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VLOOKUP(przech_odp_gry_turniejowe[[#This Row],[Gry turniej]],gry_turniejowe[],2)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VLOOKUP(przech_odp_gry_turniejowe[[#This Row],[Gry turniej]],gry_turniejowe[],2)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VLOOKUP(przech_odp_gry_turniejowe[[#This Row],[Gry turniej]],gry_turniejowe[],2)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VLOOKUP(przech_odp_gry_turniejowe[[#This Row],[Gry turniej]],gry_turniejowe[],2)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VLOOKUP(przech_odp_gry_turniejowe[[#This Row],[Gry turniej]],gry_turniejowe[],2)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VLOOKUP(przech_odp_gry_turniejowe[[#This Row],[Gry turniej]],gry_turniejowe[],2)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VLOOKUP(przech_odp_gry_turniejowe[[#This Row],[Gry turniej]],gry_turniejowe[],2)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VLOOKUP(przech_odp_gry_turniejowe[[#This Row],[Gry turniej]],gry_turniejowe[],2)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VLOOKUP(przech_odp_gry_turniejowe[[#This Row],[Gry turniej]],gry_turniejowe[],2)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VLOOKUP(przech_odp_gry_turniejowe[[#This Row],[Gry turniej]],gry_turniejowe[],2)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VLOOKUP(przech_odp_gry_turniejowe[[#This Row],[Gry turniej]],gry_turniejowe[],2)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VLOOKUP(przech_odp_gry_turniejowe[[#This Row],[Gry turniej]],gry_turniejowe[],2)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VLOOKUP(przech_odp_gry_turniejowe[[#This Row],[Gry turniej]],gry_turniejowe[],2)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VLOOKUP(przech_odp_gry_turniejowe[[#This Row],[Gry turniej]],gry_turniejowe[],2)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VLOOKUP(przech_odp_gry_turniejowe[[#This Row],[Gry turniej]],gry_turniejowe[],2)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VLOOKUP(przech_odp_gry_turniejowe[[#This Row],[Gry turniej]],gry_turniejowe[],2)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VLOOKUP(przech_odp_gry_turniejowe[[#This Row],[Gry turniej]],gry_turniejowe[],2)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VLOOKUP(przech_odp_gry_turniejowe[[#This Row],[Gry turniej]],gry_turniejowe[],2)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VLOOKUP(przech_odp_gry_turniejowe[[#This Row],[Gry turniej]],gry_turniejowe[],2)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VLOOKUP(przech_odp_gry_turniejowe[[#This Row],[Gry turniej]],gry_turniejowe[],2)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VLOOKUP(przech_odp_gry_turniejowe[[#This Row],[Gry turniej]],gry_turniejowe[],2)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VLOOKUP(przech_odp_gry_turniejowe[[#This Row],[Gry turniej]],gry_turniejowe[],2)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VLOOKUP(przech_odp_gry_turniejowe[[#This Row],[Gry turniej]],gry_turniejowe[],2)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VLOOKUP(przech_odp_gry_turniejowe[[#This Row],[Gry turniej]],gry_turniejowe[],2)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VLOOKUP(przech_odp_gry_turniejowe[[#This Row],[Gry turniej]],gry_turniejowe[],2)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VLOOKUP(przech_odp_gry_turniejowe[[#This Row],[Gry turniej]],gry_turniejowe[],2)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VLOOKUP(przech_odp_gry_turniejowe[[#This Row],[Gry turniej]],gry_turniejowe[],2)</f>
        <v>21</v>
      </c>
      <c r="C235">
        <v>175</v>
      </c>
      <c r="D235">
        <v>234</v>
      </c>
    </row>
    <row r="236" spans="1:4" x14ac:dyDescent="0.2">
      <c r="A236" s="10" t="s">
        <v>45</v>
      </c>
      <c r="B236" s="10">
        <f>VLOOKUP(przech_odp_gry_turniejowe[[#This Row],[Gry turniej]],gry_turniejowe[],2)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VLOOKUP(przech_odp_gry_turniejowe[[#This Row],[Gry turniej]],gry_turniejowe[],2)</f>
        <v>21</v>
      </c>
      <c r="C237">
        <v>177</v>
      </c>
      <c r="D237">
        <v>236</v>
      </c>
    </row>
    <row r="238" spans="1:4" x14ac:dyDescent="0.2">
      <c r="A238" s="10" t="s">
        <v>75</v>
      </c>
      <c r="B238" s="10">
        <f>VLOOKUP(przech_odp_gry_turniejowe[[#This Row],[Gry turniej]],gry_turniejowe[],2)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VLOOKUP(przech_odp_gry_turniejowe[[#This Row],[Gry turniej]],gry_turniejowe[],2)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VLOOKUP(przech_odp_gry_turniejowe[[#This Row],[Gry turniej]],gry_turniejowe[],2)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VLOOKUP(przech_odp_gry_turniejowe[[#This Row],[Gry turniej]],gry_turniejowe[],2)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VLOOKUP(przech_odp_gry_turniejowe[[#This Row],[Gry turniej]],gry_turniejowe[],2)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VLOOKUP(przech_odp_gry_turniejowe[[#This Row],[Gry turniej]],gry_turniejowe[],2)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VLOOKUP(przech_odp_gry_turniejowe[[#This Row],[Gry turniej]],gry_turniejowe[],2)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VLOOKUP(przech_odp_gry_turniejowe[[#This Row],[Gry turniej]],gry_turniejowe[],2)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VLOOKUP(przech_odp_gry_turniejowe[[#This Row],[Gry turniej]],gry_turniejowe[],2)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VLOOKUP(przech_odp_gry_turniejowe[[#This Row],[Gry turniej]],gry_turniejowe[],2)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VLOOKUP(przech_odp_gry_turniejowe[[#This Row],[Gry turniej]],gry_turniejowe[],2)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VLOOKUP(przech_odp_gry_turniejowe[[#This Row],[Gry turniej]],gry_turniejowe[],2)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VLOOKUP(przech_odp_gry_turniejowe[[#This Row],[Gry turniej]],gry_turniejowe[],2)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VLOOKUP(przech_odp_gry_turniejowe[[#This Row],[Gry turniej]],gry_turniejowe[],2)</f>
        <v>3</v>
      </c>
      <c r="C251">
        <v>190</v>
      </c>
      <c r="D251">
        <v>250</v>
      </c>
    </row>
    <row r="252" spans="1:4" x14ac:dyDescent="0.2">
      <c r="A252" s="10" t="s">
        <v>38</v>
      </c>
      <c r="B252" s="10">
        <f>VLOOKUP(przech_odp_gry_turniejowe[[#This Row],[Gry turniej]],gry_turniejowe[],2)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VLOOKUP(przech_odp_gry_turniejowe[[#This Row],[Gry turniej]],gry_turniejowe[],2)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VLOOKUP(przech_odp_gry_turniejowe[[#This Row],[Gry turniej]],gry_turniejowe[],2)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VLOOKUP(przech_odp_gry_turniejowe[[#This Row],[Gry turniej]],gry_turniejowe[],2)</f>
        <v>15</v>
      </c>
      <c r="C255">
        <v>193</v>
      </c>
      <c r="D255">
        <v>254</v>
      </c>
    </row>
    <row r="256" spans="1:4" x14ac:dyDescent="0.2">
      <c r="A256" s="10" t="s">
        <v>48</v>
      </c>
      <c r="B256" s="10">
        <f>VLOOKUP(przech_odp_gry_turniejowe[[#This Row],[Gry turniej]],gry_turniejowe[],2)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VLOOKUP(przech_odp_gry_turniejowe[[#This Row],[Gry turniej]],gry_turniejowe[],2)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VLOOKUP(przech_odp_gry_turniejowe[[#This Row],[Gry turniej]],gry_turniejowe[],2)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VLOOKUP(przech_odp_gry_turniejowe[[#This Row],[Gry turniej]],gry_turniejowe[],2)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VLOOKUP(przech_odp_gry_turniejowe[[#This Row],[Gry turniej]],gry_turniejowe[],2)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VLOOKUP(przech_odp_gry_turniejowe[[#This Row],[Gry turniej]],gry_turniejowe[],2)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workbookViewId="0">
      <selection activeCell="G19" sqref="G19"/>
    </sheetView>
  </sheetViews>
  <sheetFormatPr defaultRowHeight="12.75" x14ac:dyDescent="0.2"/>
  <cols>
    <col min="1" max="1" width="81.140625" bestFit="1" customWidth="1"/>
    <col min="2" max="2" width="11.85546875" bestFit="1" customWidth="1"/>
    <col min="3" max="3" width="9.42578125" bestFit="1" customWidth="1"/>
    <col min="4" max="4" width="39.7109375" bestFit="1" customWidth="1"/>
  </cols>
  <sheetData>
    <row r="1" spans="1:4" x14ac:dyDescent="0.2">
      <c r="A1" t="s">
        <v>88</v>
      </c>
      <c r="B1" s="11" t="s">
        <v>200</v>
      </c>
      <c r="C1" t="s">
        <v>199</v>
      </c>
      <c r="D1" s="11" t="s">
        <v>210</v>
      </c>
    </row>
    <row r="2" spans="1:4" x14ac:dyDescent="0.2">
      <c r="A2" s="10" t="s">
        <v>47</v>
      </c>
      <c r="B2" s="10">
        <f>VLOOKUP(przech_odp_zainteresowanie_turniej[[#This Row],[Zainteresowanie turniej]],zainteresowanie_turniej!A:C,2)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VLOOKUP(przech_odp_zainteresowanie_turniej[[#This Row],[Zainteresowanie turniej]],zainteresowanie_turniej!A:C,2)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VLOOKUP(przech_odp_zainteresowanie_turniej[[#This Row],[Zainteresowanie turniej]],zainteresowanie_turniej!A:C,2)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VLOOKUP(przech_odp_zainteresowanie_turniej[[#This Row],[Zainteresowanie turniej]],zainteresowanie_turniej!A:C,2)</f>
        <v>4</v>
      </c>
      <c r="C5">
        <v>3</v>
      </c>
      <c r="D5">
        <v>4</v>
      </c>
    </row>
    <row r="6" spans="1:4" x14ac:dyDescent="0.2">
      <c r="A6" s="10" t="s">
        <v>47</v>
      </c>
      <c r="B6" s="10">
        <f>VLOOKUP(przech_odp_zainteresowanie_turniej[[#This Row],[Zainteresowanie turniej]],zainteresowanie_turniej!A:C,2)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VLOOKUP(przech_odp_zainteresowanie_turniej[[#This Row],[Zainteresowanie turniej]],zainteresowanie_turniej!A:C,2)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VLOOKUP(przech_odp_zainteresowanie_turniej[[#This Row],[Zainteresowanie turniej]],zainteresowanie_turniej!A:C,2)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VLOOKUP(przech_odp_zainteresowanie_turniej[[#This Row],[Zainteresowanie turniej]],zainteresowanie_turniej!A:C,2)</f>
        <v>1</v>
      </c>
      <c r="C9">
        <v>5</v>
      </c>
      <c r="D9">
        <v>8</v>
      </c>
    </row>
    <row r="10" spans="1:4" x14ac:dyDescent="0.2">
      <c r="A10" s="10" t="s">
        <v>47</v>
      </c>
      <c r="B10" s="10">
        <f>VLOOKUP(przech_odp_zainteresowanie_turniej[[#This Row],[Zainteresowanie turniej]],zainteresowanie_turniej!A:C,2)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VLOOKUP(przech_odp_zainteresowanie_turniej[[#This Row],[Zainteresowanie turniej]],zainteresowanie_turniej!A:C,2)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VLOOKUP(przech_odp_zainteresowanie_turniej[[#This Row],[Zainteresowanie turniej]],zainteresowanie_turniej!A:C,2)</f>
        <v>4</v>
      </c>
      <c r="C12">
        <v>7</v>
      </c>
      <c r="D12">
        <v>11</v>
      </c>
    </row>
    <row r="13" spans="1:4" x14ac:dyDescent="0.2">
      <c r="A13" s="10" t="s">
        <v>47</v>
      </c>
      <c r="B13" s="10">
        <f>VLOOKUP(przech_odp_zainteresowanie_turniej[[#This Row],[Zainteresowanie turniej]],zainteresowanie_turniej!A:C,2)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VLOOKUP(przech_odp_zainteresowanie_turniej[[#This Row],[Zainteresowanie turniej]],zainteresowanie_turniej!A:C,2)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VLOOKUP(przech_odp_zainteresowanie_turniej[[#This Row],[Zainteresowanie turniej]],zainteresowanie_turniej!A:C,2)</f>
        <v>2</v>
      </c>
      <c r="C15">
        <v>8</v>
      </c>
      <c r="D15">
        <v>14</v>
      </c>
    </row>
    <row r="16" spans="1:4" x14ac:dyDescent="0.2">
      <c r="A16" s="10" t="s">
        <v>47</v>
      </c>
      <c r="B16" s="10">
        <f>VLOOKUP(przech_odp_zainteresowanie_turniej[[#This Row],[Zainteresowanie turniej]],zainteresowanie_turniej!A:C,2)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VLOOKUP(przech_odp_zainteresowanie_turniej[[#This Row],[Zainteresowanie turniej]],zainteresowanie_turniej!A:C,2)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VLOOKUP(przech_odp_zainteresowanie_turniej[[#This Row],[Zainteresowanie turniej]],zainteresowanie_turniej!A:C,2)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VLOOKUP(przech_odp_zainteresowanie_turniej[[#This Row],[Zainteresowanie turniej]],zainteresowanie_turniej!A:C,2)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VLOOKUP(przech_odp_zainteresowanie_turniej[[#This Row],[Zainteresowanie turniej]],zainteresowanie_turniej!A:C,2)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VLOOKUP(przech_odp_zainteresowanie_turniej[[#This Row],[Zainteresowanie turniej]],zainteresowanie_turniej!A:C,2)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VLOOKUP(przech_odp_zainteresowanie_turniej[[#This Row],[Zainteresowanie turniej]],zainteresowanie_turniej!A:C,2)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VLOOKUP(przech_odp_zainteresowanie_turniej[[#This Row],[Zainteresowanie turniej]],zainteresowanie_turniej!A:C,2)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VLOOKUP(przech_odp_zainteresowanie_turniej[[#This Row],[Zainteresowanie turniej]],zainteresowanie_turniej!A:C,2)</f>
        <v>2</v>
      </c>
      <c r="C24">
        <v>15</v>
      </c>
      <c r="D24">
        <v>23</v>
      </c>
    </row>
    <row r="25" spans="1:4" x14ac:dyDescent="0.2">
      <c r="A25" s="10" t="s">
        <v>47</v>
      </c>
      <c r="B25" s="10">
        <f>VLOOKUP(przech_odp_zainteresowanie_turniej[[#This Row],[Zainteresowanie turniej]],zainteresowanie_turniej!A:C,2)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VLOOKUP(przech_odp_zainteresowanie_turniej[[#This Row],[Zainteresowanie turniej]],zainteresowanie_turniej!A:C,2)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VLOOKUP(przech_odp_zainteresowanie_turniej[[#This Row],[Zainteresowanie turniej]],zainteresowanie_turniej!A:C,2)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VLOOKUP(przech_odp_zainteresowanie_turniej[[#This Row],[Zainteresowanie turniej]],zainteresowanie_turniej!A:C,2)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VLOOKUP(przech_odp_zainteresowanie_turniej[[#This Row],[Zainteresowanie turniej]],zainteresowanie_turniej!A:C,2)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VLOOKUP(przech_odp_zainteresowanie_turniej[[#This Row],[Zainteresowanie turniej]],zainteresowanie_turniej!A:C,2)</f>
        <v>4</v>
      </c>
      <c r="C30">
        <v>21</v>
      </c>
      <c r="D30">
        <v>29</v>
      </c>
    </row>
    <row r="31" spans="1:4" x14ac:dyDescent="0.2">
      <c r="A31" s="10" t="s">
        <v>47</v>
      </c>
      <c r="B31" s="10">
        <f>VLOOKUP(przech_odp_zainteresowanie_turniej[[#This Row],[Zainteresowanie turniej]],zainteresowanie_turniej!A:C,2)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VLOOKUP(przech_odp_zainteresowanie_turniej[[#This Row],[Zainteresowanie turniej]],zainteresowanie_turniej!A:C,2)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VLOOKUP(przech_odp_zainteresowanie_turniej[[#This Row],[Zainteresowanie turniej]],zainteresowanie_turniej!A:C,2)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VLOOKUP(przech_odp_zainteresowanie_turniej[[#This Row],[Zainteresowanie turniej]],zainteresowanie_turniej!A:C,2)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VLOOKUP(przech_odp_zainteresowanie_turniej[[#This Row],[Zainteresowanie turniej]],zainteresowanie_turniej!A:C,2)</f>
        <v>1</v>
      </c>
      <c r="C35">
        <v>24</v>
      </c>
      <c r="D35">
        <v>34</v>
      </c>
    </row>
    <row r="36" spans="1:4" x14ac:dyDescent="0.2">
      <c r="A36" s="10" t="s">
        <v>47</v>
      </c>
      <c r="B36" s="10">
        <f>VLOOKUP(przech_odp_zainteresowanie_turniej[[#This Row],[Zainteresowanie turniej]],zainteresowanie_turniej!A:C,2)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VLOOKUP(przech_odp_zainteresowanie_turniej[[#This Row],[Zainteresowanie turniej]],zainteresowanie_turniej!A:C,2)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VLOOKUP(przech_odp_zainteresowanie_turniej[[#This Row],[Zainteresowanie turniej]],zainteresowanie_turniej!A:C,2)</f>
        <v>4</v>
      </c>
      <c r="C38">
        <v>27</v>
      </c>
      <c r="D38">
        <v>37</v>
      </c>
    </row>
    <row r="39" spans="1:4" x14ac:dyDescent="0.2">
      <c r="A39" s="10" t="s">
        <v>47</v>
      </c>
      <c r="B39" s="10">
        <f>VLOOKUP(przech_odp_zainteresowanie_turniej[[#This Row],[Zainteresowanie turniej]],zainteresowanie_turniej!A:C,2)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VLOOKUP(przech_odp_zainteresowanie_turniej[[#This Row],[Zainteresowanie turniej]],zainteresowanie_turniej!A:C,2)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VLOOKUP(przech_odp_zainteresowanie_turniej[[#This Row],[Zainteresowanie turniej]],zainteresowanie_turniej!A:C,2)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VLOOKUP(przech_odp_zainteresowanie_turniej[[#This Row],[Zainteresowanie turniej]],zainteresowanie_turniej!A:C,2)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VLOOKUP(przech_odp_zainteresowanie_turniej[[#This Row],[Zainteresowanie turniej]],zainteresowanie_turniej!A:C,2)</f>
        <v>4</v>
      </c>
      <c r="C43">
        <v>30</v>
      </c>
      <c r="D43">
        <v>42</v>
      </c>
    </row>
    <row r="44" spans="1:4" x14ac:dyDescent="0.2">
      <c r="A44" s="10" t="s">
        <v>47</v>
      </c>
      <c r="B44" s="10">
        <f>VLOOKUP(przech_odp_zainteresowanie_turniej[[#This Row],[Zainteresowanie turniej]],zainteresowanie_turniej!A:C,2)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VLOOKUP(przech_odp_zainteresowanie_turniej[[#This Row],[Zainteresowanie turniej]],zainteresowanie_turniej!A:C,2)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VLOOKUP(przech_odp_zainteresowanie_turniej[[#This Row],[Zainteresowanie turniej]],zainteresowanie_turniej!A:C,2)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VLOOKUP(przech_odp_zainteresowanie_turniej[[#This Row],[Zainteresowanie turniej]],zainteresowanie_turniej!A:C,2)</f>
        <v>4</v>
      </c>
      <c r="C47">
        <v>32</v>
      </c>
      <c r="D47">
        <v>46</v>
      </c>
    </row>
    <row r="48" spans="1:4" x14ac:dyDescent="0.2">
      <c r="A48" s="10" t="s">
        <v>47</v>
      </c>
      <c r="B48" s="10">
        <f>VLOOKUP(przech_odp_zainteresowanie_turniej[[#This Row],[Zainteresowanie turniej]],zainteresowanie_turniej!A:C,2)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VLOOKUP(przech_odp_zainteresowanie_turniej[[#This Row],[Zainteresowanie turniej]],zainteresowanie_turniej!A:C,2)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VLOOKUP(przech_odp_zainteresowanie_turniej[[#This Row],[Zainteresowanie turniej]],zainteresowanie_turniej!A:C,2)</f>
        <v>4</v>
      </c>
      <c r="C50">
        <v>34</v>
      </c>
      <c r="D50">
        <v>49</v>
      </c>
    </row>
    <row r="51" spans="1:4" x14ac:dyDescent="0.2">
      <c r="A51" s="10" t="s">
        <v>47</v>
      </c>
      <c r="B51" s="10">
        <f>VLOOKUP(przech_odp_zainteresowanie_turniej[[#This Row],[Zainteresowanie turniej]],zainteresowanie_turniej!A:C,2)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VLOOKUP(przech_odp_zainteresowanie_turniej[[#This Row],[Zainteresowanie turniej]],zainteresowanie_turniej!A:C,2)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VLOOKUP(przech_odp_zainteresowanie_turniej[[#This Row],[Zainteresowanie turniej]],zainteresowanie_turniej!A:C,2)</f>
        <v>4</v>
      </c>
      <c r="C53">
        <v>35</v>
      </c>
      <c r="D53">
        <v>52</v>
      </c>
    </row>
    <row r="54" spans="1:4" x14ac:dyDescent="0.2">
      <c r="A54" s="10" t="s">
        <v>47</v>
      </c>
      <c r="B54" s="10">
        <f>VLOOKUP(przech_odp_zainteresowanie_turniej[[#This Row],[Zainteresowanie turniej]],zainteresowanie_turniej!A:C,2)</f>
        <v>3</v>
      </c>
      <c r="C54">
        <v>35</v>
      </c>
      <c r="D54">
        <v>53</v>
      </c>
    </row>
    <row r="55" spans="1:4" x14ac:dyDescent="0.2">
      <c r="A55" s="10" t="s">
        <v>47</v>
      </c>
      <c r="B55" s="10">
        <f>VLOOKUP(przech_odp_zainteresowanie_turniej[[#This Row],[Zainteresowanie turniej]],zainteresowanie_turniej!A:C,2)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VLOOKUP(przech_odp_zainteresowanie_turniej[[#This Row],[Zainteresowanie turniej]],zainteresowanie_turniej!A:C,2)</f>
        <v>4</v>
      </c>
      <c r="C56">
        <v>37</v>
      </c>
      <c r="D56">
        <v>55</v>
      </c>
    </row>
    <row r="57" spans="1:4" x14ac:dyDescent="0.2">
      <c r="A57" s="10" t="s">
        <v>47</v>
      </c>
      <c r="B57" s="10">
        <f>VLOOKUP(przech_odp_zainteresowanie_turniej[[#This Row],[Zainteresowanie turniej]],zainteresowanie_turniej!A:C,2)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VLOOKUP(przech_odp_zainteresowanie_turniej[[#This Row],[Zainteresowanie turniej]],zainteresowanie_turniej!A:C,2)</f>
        <v>1</v>
      </c>
      <c r="C58">
        <v>37</v>
      </c>
      <c r="D58">
        <v>57</v>
      </c>
    </row>
    <row r="59" spans="1:4" x14ac:dyDescent="0.2">
      <c r="A59" s="10" t="s">
        <v>47</v>
      </c>
      <c r="B59" s="10">
        <f>VLOOKUP(przech_odp_zainteresowanie_turniej[[#This Row],[Zainteresowanie turniej]],zainteresowanie_turniej!A:C,2)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VLOOKUP(przech_odp_zainteresowanie_turniej[[#This Row],[Zainteresowanie turniej]],zainteresowanie_turniej!A:C,2)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VLOOKUP(przech_odp_zainteresowanie_turniej[[#This Row],[Zainteresowanie turniej]],zainteresowanie_turniej!A:C,2)</f>
        <v>4</v>
      </c>
      <c r="C61">
        <v>39</v>
      </c>
      <c r="D61">
        <v>60</v>
      </c>
    </row>
    <row r="62" spans="1:4" x14ac:dyDescent="0.2">
      <c r="A62" s="10" t="s">
        <v>47</v>
      </c>
      <c r="B62" s="10">
        <f>VLOOKUP(przech_odp_zainteresowanie_turniej[[#This Row],[Zainteresowanie turniej]],zainteresowanie_turniej!A:C,2)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VLOOKUP(przech_odp_zainteresowanie_turniej[[#This Row],[Zainteresowanie turniej]],zainteresowanie_turniej!A:C,2)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VLOOKUP(przech_odp_zainteresowanie_turniej[[#This Row],[Zainteresowanie turniej]],zainteresowanie_turniej!A:C,2)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VLOOKUP(przech_odp_zainteresowanie_turniej[[#This Row],[Zainteresowanie turniej]],zainteresowanie_turniej!A:C,2)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VLOOKUP(przech_odp_zainteresowanie_turniej[[#This Row],[Zainteresowanie turniej]],zainteresowanie_turniej!A:C,2)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VLOOKUP(przech_odp_zainteresowanie_turniej[[#This Row],[Zainteresowanie turniej]],zainteresowanie_turniej!A:C,2)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VLOOKUP(przech_odp_zainteresowanie_turniej[[#This Row],[Zainteresowanie turniej]],zainteresowanie_turniej!A:C,2)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VLOOKUP(przech_odp_zainteresowanie_turniej[[#This Row],[Zainteresowanie turniej]],zainteresowanie_turniej!A:C,2)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VLOOKUP(przech_odp_zainteresowanie_turniej[[#This Row],[Zainteresowanie turniej]],zainteresowanie_turniej!A:C,2)</f>
        <v>4</v>
      </c>
      <c r="C70">
        <v>46</v>
      </c>
      <c r="D70">
        <v>69</v>
      </c>
    </row>
    <row r="71" spans="1:4" x14ac:dyDescent="0.2">
      <c r="A71" s="10" t="s">
        <v>47</v>
      </c>
      <c r="B71" s="10">
        <f>VLOOKUP(przech_odp_zainteresowanie_turniej[[#This Row],[Zainteresowanie turniej]],zainteresowanie_turniej!A:C,2)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VLOOKUP(przech_odp_zainteresowanie_turniej[[#This Row],[Zainteresowanie turniej]],zainteresowanie_turniej!A:C,2)</f>
        <v>1</v>
      </c>
      <c r="C72">
        <v>46</v>
      </c>
      <c r="D72">
        <v>71</v>
      </c>
    </row>
    <row r="73" spans="1:4" x14ac:dyDescent="0.2">
      <c r="A73" s="10" t="s">
        <v>47</v>
      </c>
      <c r="B73" s="10">
        <f>VLOOKUP(przech_odp_zainteresowanie_turniej[[#This Row],[Zainteresowanie turniej]],zainteresowanie_turniej!A:C,2)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VLOOKUP(przech_odp_zainteresowanie_turniej[[#This Row],[Zainteresowanie turniej]],zainteresowanie_turniej!A:C,2)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VLOOKUP(przech_odp_zainteresowanie_turniej[[#This Row],[Zainteresowanie turniej]],zainteresowanie_turniej!A:C,2)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VLOOKUP(przech_odp_zainteresowanie_turniej[[#This Row],[Zainteresowanie turniej]],zainteresowanie_turniej!A:C,2)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VLOOKUP(przech_odp_zainteresowanie_turniej[[#This Row],[Zainteresowanie turniej]],zainteresowanie_turniej!A:C,2)</f>
        <v>4</v>
      </c>
      <c r="C77">
        <v>50</v>
      </c>
      <c r="D77">
        <v>76</v>
      </c>
    </row>
    <row r="78" spans="1:4" x14ac:dyDescent="0.2">
      <c r="A78" s="10" t="s">
        <v>47</v>
      </c>
      <c r="B78" s="10">
        <f>VLOOKUP(przech_odp_zainteresowanie_turniej[[#This Row],[Zainteresowanie turniej]],zainteresowanie_turniej!A:C,2)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VLOOKUP(przech_odp_zainteresowanie_turniej[[#This Row],[Zainteresowanie turniej]],zainteresowanie_turniej!A:C,2)</f>
        <v>1</v>
      </c>
      <c r="C79">
        <v>50</v>
      </c>
      <c r="D79">
        <v>78</v>
      </c>
    </row>
    <row r="80" spans="1:4" x14ac:dyDescent="0.2">
      <c r="A80" s="10" t="s">
        <v>47</v>
      </c>
      <c r="B80" s="10">
        <f>VLOOKUP(przech_odp_zainteresowanie_turniej[[#This Row],[Zainteresowanie turniej]],zainteresowanie_turniej!A:C,2)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VLOOKUP(przech_odp_zainteresowanie_turniej[[#This Row],[Zainteresowanie turniej]],zainteresowanie_turniej!A:C,2)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VLOOKUP(przech_odp_zainteresowanie_turniej[[#This Row],[Zainteresowanie turniej]],zainteresowanie_turniej!A:C,2)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VLOOKUP(przech_odp_zainteresowanie_turniej[[#This Row],[Zainteresowanie turniej]],zainteresowanie_turniej!A:C,2)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VLOOKUP(przech_odp_zainteresowanie_turniej[[#This Row],[Zainteresowanie turniej]],zainteresowanie_turniej!A:C,2)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VLOOKUP(przech_odp_zainteresowanie_turniej[[#This Row],[Zainteresowanie turniej]],zainteresowanie_turniej!A:C,2)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VLOOKUP(przech_odp_zainteresowanie_turniej[[#This Row],[Zainteresowanie turniej]],zainteresowanie_turniej!A:C,2)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VLOOKUP(przech_odp_zainteresowanie_turniej[[#This Row],[Zainteresowanie turniej]],zainteresowanie_turniej!A:C,2)</f>
        <v>4</v>
      </c>
      <c r="C87">
        <v>56</v>
      </c>
      <c r="D87">
        <v>86</v>
      </c>
    </row>
    <row r="88" spans="1:4" x14ac:dyDescent="0.2">
      <c r="A88" s="10" t="s">
        <v>47</v>
      </c>
      <c r="B88" s="10">
        <f>VLOOKUP(przech_odp_zainteresowanie_turniej[[#This Row],[Zainteresowanie turniej]],zainteresowanie_turniej!A:C,2)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VLOOKUP(przech_odp_zainteresowanie_turniej[[#This Row],[Zainteresowanie turniej]],zainteresowanie_turniej!A:C,2)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VLOOKUP(przech_odp_zainteresowanie_turniej[[#This Row],[Zainteresowanie turniej]],zainteresowanie_turniej!A:C,2)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VLOOKUP(przech_odp_zainteresowanie_turniej[[#This Row],[Zainteresowanie turniej]],zainteresowanie_turniej!A:C,2)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VLOOKUP(przech_odp_zainteresowanie_turniej[[#This Row],[Zainteresowanie turniej]],zainteresowanie_turniej!A:C,2)</f>
        <v>4</v>
      </c>
      <c r="C92">
        <v>59</v>
      </c>
      <c r="D92">
        <v>91</v>
      </c>
    </row>
    <row r="93" spans="1:4" x14ac:dyDescent="0.2">
      <c r="A93" s="10" t="s">
        <v>47</v>
      </c>
      <c r="B93" s="10">
        <f>VLOOKUP(przech_odp_zainteresowanie_turniej[[#This Row],[Zainteresowanie turniej]],zainteresowanie_turniej!A:C,2)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VLOOKUP(przech_odp_zainteresowanie_turniej[[#This Row],[Zainteresowanie turniej]],zainteresowanie_turniej!A:C,2)</f>
        <v>1</v>
      </c>
      <c r="C94">
        <v>59</v>
      </c>
      <c r="D94">
        <v>93</v>
      </c>
    </row>
    <row r="95" spans="1:4" x14ac:dyDescent="0.2">
      <c r="A95" s="10" t="s">
        <v>47</v>
      </c>
      <c r="B95" s="10">
        <f>VLOOKUP(przech_odp_zainteresowanie_turniej[[#This Row],[Zainteresowanie turniej]],zainteresowanie_turniej!A:C,2)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VLOOKUP(przech_odp_zainteresowanie_turniej[[#This Row],[Zainteresowanie turniej]],zainteresowanie_turniej!A:C,2)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VLOOKUP(przech_odp_zainteresowanie_turniej[[#This Row],[Zainteresowanie turniej]],zainteresowanie_turniej!A:C,2)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VLOOKUP(przech_odp_zainteresowanie_turniej[[#This Row],[Zainteresowanie turniej]],zainteresowanie_turniej!A:C,2)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VLOOKUP(przech_odp_zainteresowanie_turniej[[#This Row],[Zainteresowanie turniej]],zainteresowanie_turniej!A:C,2)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VLOOKUP(przech_odp_zainteresowanie_turniej[[#This Row],[Zainteresowanie turniej]],zainteresowanie_turniej!A:C,2)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VLOOKUP(przech_odp_zainteresowanie_turniej[[#This Row],[Zainteresowanie turniej]],zainteresowanie_turniej!A:C,2)</f>
        <v>4</v>
      </c>
      <c r="C101">
        <v>66</v>
      </c>
      <c r="D101">
        <v>100</v>
      </c>
    </row>
    <row r="102" spans="1:4" x14ac:dyDescent="0.2">
      <c r="A102" s="10" t="s">
        <v>47</v>
      </c>
      <c r="B102" s="10">
        <f>VLOOKUP(przech_odp_zainteresowanie_turniej[[#This Row],[Zainteresowanie turniej]],zainteresowanie_turniej!A:C,2)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VLOOKUP(przech_odp_zainteresowanie_turniej[[#This Row],[Zainteresowanie turniej]],zainteresowanie_turniej!A:C,2)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VLOOKUP(przech_odp_zainteresowanie_turniej[[#This Row],[Zainteresowanie turniej]],zainteresowanie_turniej!A:C,2)</f>
        <v>4</v>
      </c>
      <c r="C104">
        <v>67</v>
      </c>
      <c r="D104">
        <v>103</v>
      </c>
    </row>
    <row r="105" spans="1:4" x14ac:dyDescent="0.2">
      <c r="A105" s="10" t="s">
        <v>47</v>
      </c>
      <c r="B105" s="10">
        <f>VLOOKUP(przech_odp_zainteresowanie_turniej[[#This Row],[Zainteresowanie turniej]],zainteresowanie_turniej!A:C,2)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VLOOKUP(przech_odp_zainteresowanie_turniej[[#This Row],[Zainteresowanie turniej]],zainteresowanie_turniej!A:C,2)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VLOOKUP(przech_odp_zainteresowanie_turniej[[#This Row],[Zainteresowanie turniej]],zainteresowanie_turniej!A:C,2)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VLOOKUP(przech_odp_zainteresowanie_turniej[[#This Row],[Zainteresowanie turniej]],zainteresowanie_turniej!A:C,2)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VLOOKUP(przech_odp_zainteresowanie_turniej[[#This Row],[Zainteresowanie turniej]],zainteresowanie_turniej!A:C,2)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VLOOKUP(przech_odp_zainteresowanie_turniej[[#This Row],[Zainteresowanie turniej]],zainteresowanie_turniej!A:C,2)</f>
        <v>4</v>
      </c>
      <c r="C110">
        <v>72</v>
      </c>
      <c r="D110">
        <v>109</v>
      </c>
    </row>
    <row r="111" spans="1:4" x14ac:dyDescent="0.2">
      <c r="A111" s="10" t="s">
        <v>47</v>
      </c>
      <c r="B111" s="10">
        <f>VLOOKUP(przech_odp_zainteresowanie_turniej[[#This Row],[Zainteresowanie turniej]],zainteresowanie_turniej!A:C,2)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VLOOKUP(przech_odp_zainteresowanie_turniej[[#This Row],[Zainteresowanie turniej]],zainteresowanie_turniej!A:C,2)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VLOOKUP(przech_odp_zainteresowanie_turniej[[#This Row],[Zainteresowanie turniej]],zainteresowanie_turniej!A:C,2)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VLOOKUP(przech_odp_zainteresowanie_turniej[[#This Row],[Zainteresowanie turniej]],zainteresowanie_turniej!A:C,2)</f>
        <v>4</v>
      </c>
      <c r="C114">
        <v>74</v>
      </c>
      <c r="D114">
        <v>113</v>
      </c>
    </row>
    <row r="115" spans="1:4" x14ac:dyDescent="0.2">
      <c r="A115" s="10" t="s">
        <v>47</v>
      </c>
      <c r="B115" s="10">
        <f>VLOOKUP(przech_odp_zainteresowanie_turniej[[#This Row],[Zainteresowanie turniej]],zainteresowanie_turniej!A:C,2)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VLOOKUP(przech_odp_zainteresowanie_turniej[[#This Row],[Zainteresowanie turniej]],zainteresowanie_turniej!A:C,2)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VLOOKUP(przech_odp_zainteresowanie_turniej[[#This Row],[Zainteresowanie turniej]],zainteresowanie_turniej!A:C,2)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VLOOKUP(przech_odp_zainteresowanie_turniej[[#This Row],[Zainteresowanie turniej]],zainteresowanie_turniej!A:C,2)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VLOOKUP(przech_odp_zainteresowanie_turniej[[#This Row],[Zainteresowanie turniej]],zainteresowanie_turniej!A:C,2)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VLOOKUP(przech_odp_zainteresowanie_turniej[[#This Row],[Zainteresowanie turniej]],zainteresowanie_turniej!A:C,2)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VLOOKUP(przech_odp_zainteresowanie_turniej[[#This Row],[Zainteresowanie turniej]],zainteresowanie_turniej!A:C,2)</f>
        <v>4</v>
      </c>
      <c r="C121">
        <v>79</v>
      </c>
      <c r="D121">
        <v>120</v>
      </c>
    </row>
    <row r="122" spans="1:4" x14ac:dyDescent="0.2">
      <c r="A122" s="10" t="s">
        <v>47</v>
      </c>
      <c r="B122" s="10">
        <f>VLOOKUP(przech_odp_zainteresowanie_turniej[[#This Row],[Zainteresowanie turniej]],zainteresowanie_turniej!A:C,2)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VLOOKUP(przech_odp_zainteresowanie_turniej[[#This Row],[Zainteresowanie turniej]],zainteresowanie_turniej!A:C,2)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VLOOKUP(przech_odp_zainteresowanie_turniej[[#This Row],[Zainteresowanie turniej]],zainteresowanie_turniej!A:C,2)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VLOOKUP(przech_odp_zainteresowanie_turniej[[#This Row],[Zainteresowanie turniej]],zainteresowanie_turniej!A:C,2)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VLOOKUP(przech_odp_zainteresowanie_turniej[[#This Row],[Zainteresowanie turniej]],zainteresowanie_turniej!A:C,2)</f>
        <v>4</v>
      </c>
      <c r="C126">
        <v>83</v>
      </c>
      <c r="D126">
        <v>125</v>
      </c>
    </row>
    <row r="127" spans="1:4" x14ac:dyDescent="0.2">
      <c r="A127" s="10" t="s">
        <v>47</v>
      </c>
      <c r="B127" s="10">
        <f>VLOOKUP(przech_odp_zainteresowanie_turniej[[#This Row],[Zainteresowanie turniej]],zainteresowanie_turniej!A:C,2)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VLOOKUP(przech_odp_zainteresowanie_turniej[[#This Row],[Zainteresowanie turniej]],zainteresowanie_turniej!A:C,2)</f>
        <v>4</v>
      </c>
      <c r="C128">
        <v>84</v>
      </c>
      <c r="D128">
        <v>127</v>
      </c>
    </row>
    <row r="129" spans="1:4" x14ac:dyDescent="0.2">
      <c r="A129" s="10" t="s">
        <v>47</v>
      </c>
      <c r="B129" s="10">
        <f>VLOOKUP(przech_odp_zainteresowanie_turniej[[#This Row],[Zainteresowanie turniej]],zainteresowanie_turniej!A:C,2)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VLOOKUP(przech_odp_zainteresowanie_turniej[[#This Row],[Zainteresowanie turniej]],zainteresowanie_turniej!A:C,2)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VLOOKUP(przech_odp_zainteresowanie_turniej[[#This Row],[Zainteresowanie turniej]],zainteresowanie_turniej!A:C,2)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VLOOKUP(przech_odp_zainteresowanie_turniej[[#This Row],[Zainteresowanie turniej]],zainteresowanie_turniej!A:C,2)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VLOOKUP(przech_odp_zainteresowanie_turniej[[#This Row],[Zainteresowanie turniej]],zainteresowanie_turniej!A:C,2)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VLOOKUP(przech_odp_zainteresowanie_turniej[[#This Row],[Zainteresowanie turniej]],zainteresowanie_turniej!A:C,2)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VLOOKUP(przech_odp_zainteresowanie_turniej[[#This Row],[Zainteresowanie turniej]],zainteresowanie_turniej!A:C,2)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VLOOKUP(przech_odp_zainteresowanie_turniej[[#This Row],[Zainteresowanie turniej]],zainteresowanie_turniej!A:C,2)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VLOOKUP(przech_odp_zainteresowanie_turniej[[#This Row],[Zainteresowanie turniej]],zainteresowanie_turniej!A:C,2)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VLOOKUP(przech_odp_zainteresowanie_turniej[[#This Row],[Zainteresowanie turniej]],zainteresowanie_turniej!A:C,2)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VLOOKUP(przech_odp_zainteresowanie_turniej[[#This Row],[Zainteresowanie turniej]],zainteresowanie_turniej!A:C,2)</f>
        <v>1</v>
      </c>
      <c r="C139">
        <v>93</v>
      </c>
      <c r="D139">
        <v>138</v>
      </c>
    </row>
    <row r="140" spans="1:4" x14ac:dyDescent="0.2">
      <c r="A140" s="10" t="s">
        <v>47</v>
      </c>
      <c r="B140" s="10">
        <f>VLOOKUP(przech_odp_zainteresowanie_turniej[[#This Row],[Zainteresowanie turniej]],zainteresowanie_turniej!A:C,2)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VLOOKUP(przech_odp_zainteresowanie_turniej[[#This Row],[Zainteresowanie turniej]],zainteresowanie_turniej!A:C,2)</f>
        <v>4</v>
      </c>
      <c r="C141">
        <v>95</v>
      </c>
      <c r="D141">
        <v>140</v>
      </c>
    </row>
    <row r="142" spans="1:4" x14ac:dyDescent="0.2">
      <c r="A142" s="10" t="s">
        <v>47</v>
      </c>
      <c r="B142" s="10">
        <f>VLOOKUP(przech_odp_zainteresowanie_turniej[[#This Row],[Zainteresowanie turniej]],zainteresowanie_turniej!A:C,2)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VLOOKUP(przech_odp_zainteresowanie_turniej[[#This Row],[Zainteresowanie turniej]],zainteresowanie_turniej!A:C,2)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VLOOKUP(przech_odp_zainteresowanie_turniej[[#This Row],[Zainteresowanie turniej]],zainteresowanie_turniej!A:C,2)</f>
        <v>2</v>
      </c>
      <c r="C144">
        <v>96</v>
      </c>
      <c r="D144">
        <v>143</v>
      </c>
    </row>
    <row r="145" spans="1:4" x14ac:dyDescent="0.2">
      <c r="A145" s="10" t="s">
        <v>47</v>
      </c>
      <c r="B145" s="10">
        <f>VLOOKUP(przech_odp_zainteresowanie_turniej[[#This Row],[Zainteresowanie turniej]],zainteresowanie_turniej!A:C,2)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VLOOKUP(przech_odp_zainteresowanie_turniej[[#This Row],[Zainteresowanie turniej]],zainteresowanie_turniej!A:C,2)</f>
        <v>4</v>
      </c>
      <c r="C146">
        <v>98</v>
      </c>
      <c r="D146">
        <v>145</v>
      </c>
    </row>
    <row r="147" spans="1:4" x14ac:dyDescent="0.2">
      <c r="A147" s="10" t="s">
        <v>47</v>
      </c>
      <c r="B147" s="10">
        <f>VLOOKUP(przech_odp_zainteresowanie_turniej[[#This Row],[Zainteresowanie turniej]],zainteresowanie_turniej!A:C,2)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VLOOKUP(przech_odp_zainteresowanie_turniej[[#This Row],[Zainteresowanie turniej]],zainteresowanie_turniej!A:C,2)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VLOOKUP(przech_odp_zainteresowanie_turniej[[#This Row],[Zainteresowanie turniej]],zainteresowanie_turniej!A:C,2)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VLOOKUP(przech_odp_zainteresowanie_turniej[[#This Row],[Zainteresowanie turniej]],zainteresowanie_turniej!A:C,2)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VLOOKUP(przech_odp_zainteresowanie_turniej[[#This Row],[Zainteresowanie turniej]],zainteresowanie_turniej!A:C,2)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VLOOKUP(przech_odp_zainteresowanie_turniej[[#This Row],[Zainteresowanie turniej]],zainteresowanie_turniej!A:C,2)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VLOOKUP(przech_odp_zainteresowanie_turniej[[#This Row],[Zainteresowanie turniej]],zainteresowanie_turniej!A:C,2)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VLOOKUP(przech_odp_zainteresowanie_turniej[[#This Row],[Zainteresowanie turniej]],zainteresowanie_turniej!A:C,2)</f>
        <v>4</v>
      </c>
      <c r="C154">
        <v>104</v>
      </c>
      <c r="D154">
        <v>153</v>
      </c>
    </row>
    <row r="155" spans="1:4" x14ac:dyDescent="0.2">
      <c r="A155" s="10" t="s">
        <v>47</v>
      </c>
      <c r="B155" s="10">
        <f>VLOOKUP(przech_odp_zainteresowanie_turniej[[#This Row],[Zainteresowanie turniej]],zainteresowanie_turniej!A:C,2)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VLOOKUP(przech_odp_zainteresowanie_turniej[[#This Row],[Zainteresowanie turniej]],zainteresowanie_turniej!A:C,2)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VLOOKUP(przech_odp_zainteresowanie_turniej[[#This Row],[Zainteresowanie turniej]],zainteresowanie_turniej!A:C,2)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VLOOKUP(przech_odp_zainteresowanie_turniej[[#This Row],[Zainteresowanie turniej]],zainteresowanie_turniej!A:C,2)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VLOOKUP(przech_odp_zainteresowanie_turniej[[#This Row],[Zainteresowanie turniej]],zainteresowanie_turniej!A:C,2)</f>
        <v>4</v>
      </c>
      <c r="C159">
        <v>107</v>
      </c>
      <c r="D159">
        <v>158</v>
      </c>
    </row>
    <row r="160" spans="1:4" x14ac:dyDescent="0.2">
      <c r="A160" s="10" t="s">
        <v>47</v>
      </c>
      <c r="B160" s="10">
        <f>VLOOKUP(przech_odp_zainteresowanie_turniej[[#This Row],[Zainteresowanie turniej]],zainteresowanie_turniej!A:C,2)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VLOOKUP(przech_odp_zainteresowanie_turniej[[#This Row],[Zainteresowanie turniej]],zainteresowanie_turniej!A:C,2)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VLOOKUP(przech_odp_zainteresowanie_turniej[[#This Row],[Zainteresowanie turniej]],zainteresowanie_turniej!A:C,2)</f>
        <v>4</v>
      </c>
      <c r="C162">
        <v>108</v>
      </c>
      <c r="D162">
        <v>161</v>
      </c>
    </row>
    <row r="163" spans="1:4" x14ac:dyDescent="0.2">
      <c r="A163" s="10" t="s">
        <v>47</v>
      </c>
      <c r="B163" s="10">
        <f>VLOOKUP(przech_odp_zainteresowanie_turniej[[#This Row],[Zainteresowanie turniej]],zainteresowanie_turniej!A:C,2)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VLOOKUP(przech_odp_zainteresowanie_turniej[[#This Row],[Zainteresowanie turniej]],zainteresowanie_turniej!A:C,2)</f>
        <v>1</v>
      </c>
      <c r="C164">
        <v>108</v>
      </c>
      <c r="D164">
        <v>163</v>
      </c>
    </row>
    <row r="165" spans="1:4" x14ac:dyDescent="0.2">
      <c r="A165" s="10" t="s">
        <v>47</v>
      </c>
      <c r="B165" s="10">
        <f>VLOOKUP(przech_odp_zainteresowanie_turniej[[#This Row],[Zainteresowanie turniej]],zainteresowanie_turniej!A:C,2)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VLOOKUP(przech_odp_zainteresowanie_turniej[[#This Row],[Zainteresowanie turniej]],zainteresowanie_turniej!A:C,2)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VLOOKUP(przech_odp_zainteresowanie_turniej[[#This Row],[Zainteresowanie turniej]],zainteresowanie_turniej!A:C,2)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VLOOKUP(przech_odp_zainteresowanie_turniej[[#This Row],[Zainteresowanie turniej]],zainteresowanie_turniej!A:C,2)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VLOOKUP(przech_odp_zainteresowanie_turniej[[#This Row],[Zainteresowanie turniej]],zainteresowanie_turniej!A:C,2)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VLOOKUP(przech_odp_zainteresowanie_turniej[[#This Row],[Zainteresowanie turniej]],zainteresowanie_turniej!A:C,2)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VLOOKUP(przech_odp_zainteresowanie_turniej[[#This Row],[Zainteresowanie turniej]],zainteresowanie_turniej!A:C,2)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VLOOKUP(przech_odp_zainteresowanie_turniej[[#This Row],[Zainteresowanie turniej]],zainteresowanie_turniej!A:C,2)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VLOOKUP(przech_odp_zainteresowanie_turniej[[#This Row],[Zainteresowanie turniej]],zainteresowanie_turniej!A:C,2)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VLOOKUP(przech_odp_zainteresowanie_turniej[[#This Row],[Zainteresowanie turniej]],zainteresowanie_turniej!A:C,2)</f>
        <v>4</v>
      </c>
      <c r="C174">
        <v>116</v>
      </c>
      <c r="D174">
        <v>173</v>
      </c>
    </row>
    <row r="175" spans="1:4" x14ac:dyDescent="0.2">
      <c r="A175" s="10" t="s">
        <v>47</v>
      </c>
      <c r="B175" s="10">
        <f>VLOOKUP(przech_odp_zainteresowanie_turniej[[#This Row],[Zainteresowanie turniej]],zainteresowanie_turniej!A:C,2)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VLOOKUP(przech_odp_zainteresowanie_turniej[[#This Row],[Zainteresowanie turniej]],zainteresowanie_turniej!A:C,2)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VLOOKUP(przech_odp_zainteresowanie_turniej[[#This Row],[Zainteresowanie turniej]],zainteresowanie_turniej!A:C,2)</f>
        <v>1</v>
      </c>
      <c r="C177">
        <v>117</v>
      </c>
      <c r="D177">
        <v>176</v>
      </c>
    </row>
    <row r="178" spans="1:4" x14ac:dyDescent="0.2">
      <c r="A178" s="10" t="s">
        <v>47</v>
      </c>
      <c r="B178" s="10">
        <f>VLOOKUP(przech_odp_zainteresowanie_turniej[[#This Row],[Zainteresowanie turniej]],zainteresowanie_turniej!A:C,2)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VLOOKUP(przech_odp_zainteresowanie_turniej[[#This Row],[Zainteresowanie turniej]],zainteresowanie_turniej!A:C,2)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VLOOKUP(przech_odp_zainteresowanie_turniej[[#This Row],[Zainteresowanie turniej]],zainteresowanie_turniej!A:C,2)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VLOOKUP(przech_odp_zainteresowanie_turniej[[#This Row],[Zainteresowanie turniej]],zainteresowanie_turniej!A:C,2)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VLOOKUP(przech_odp_zainteresowanie_turniej[[#This Row],[Zainteresowanie turniej]],zainteresowanie_turniej!A:C,2)</f>
        <v>4</v>
      </c>
      <c r="C182">
        <v>122</v>
      </c>
      <c r="D182">
        <v>181</v>
      </c>
    </row>
    <row r="183" spans="1:4" x14ac:dyDescent="0.2">
      <c r="A183" s="10" t="s">
        <v>47</v>
      </c>
      <c r="B183" s="10">
        <f>VLOOKUP(przech_odp_zainteresowanie_turniej[[#This Row],[Zainteresowanie turniej]],zainteresowanie_turniej!A:C,2)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VLOOKUP(przech_odp_zainteresowanie_turniej[[#This Row],[Zainteresowanie turniej]],zainteresowanie_turniej!A:C,2)</f>
        <v>4</v>
      </c>
      <c r="C184">
        <v>123</v>
      </c>
      <c r="D184">
        <v>183</v>
      </c>
    </row>
    <row r="185" spans="1:4" x14ac:dyDescent="0.2">
      <c r="A185" s="10" t="s">
        <v>47</v>
      </c>
      <c r="B185" s="10">
        <f>VLOOKUP(przech_odp_zainteresowanie_turniej[[#This Row],[Zainteresowanie turniej]],zainteresowanie_turniej!A:C,2)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VLOOKUP(przech_odp_zainteresowanie_turniej[[#This Row],[Zainteresowanie turniej]],zainteresowanie_turniej!A:C,2)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VLOOKUP(przech_odp_zainteresowanie_turniej[[#This Row],[Zainteresowanie turniej]],zainteresowanie_turniej!A:C,2)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VLOOKUP(przech_odp_zainteresowanie_turniej[[#This Row],[Zainteresowanie turniej]],zainteresowanie_turniej!A:C,2)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VLOOKUP(przech_odp_zainteresowanie_turniej[[#This Row],[Zainteresowanie turniej]],zainteresowanie_turniej!A:C,2)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VLOOKUP(przech_odp_zainteresowanie_turniej[[#This Row],[Zainteresowanie turniej]],zainteresowanie_turniej!A:C,2)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VLOOKUP(przech_odp_zainteresowanie_turniej[[#This Row],[Zainteresowanie turniej]],zainteresowanie_turniej!A:C,2)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VLOOKUP(przech_odp_zainteresowanie_turniej[[#This Row],[Zainteresowanie turniej]],zainteresowanie_turniej!A:C,2)</f>
        <v>4</v>
      </c>
      <c r="C192">
        <v>128</v>
      </c>
      <c r="D192">
        <v>191</v>
      </c>
    </row>
    <row r="193" spans="1:4" x14ac:dyDescent="0.2">
      <c r="A193" s="10" t="s">
        <v>47</v>
      </c>
      <c r="B193" s="10">
        <f>VLOOKUP(przech_odp_zainteresowanie_turniej[[#This Row],[Zainteresowanie turniej]],zainteresowanie_turniej!A:C,2)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VLOOKUP(przech_odp_zainteresowanie_turniej[[#This Row],[Zainteresowanie turniej]],zainteresowanie_turniej!A:C,2)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VLOOKUP(przech_odp_zainteresowanie_turniej[[#This Row],[Zainteresowanie turniej]],zainteresowanie_turniej!A:C,2)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VLOOKUP(przech_odp_zainteresowanie_turniej[[#This Row],[Zainteresowanie turniej]],zainteresowanie_turniej!A:C,2)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VLOOKUP(przech_odp_zainteresowanie_turniej[[#This Row],[Zainteresowanie turniej]],zainteresowanie_turniej!A:C,2)</f>
        <v>4</v>
      </c>
      <c r="C197">
        <v>131</v>
      </c>
      <c r="D197">
        <v>196</v>
      </c>
    </row>
    <row r="198" spans="1:4" x14ac:dyDescent="0.2">
      <c r="A198" s="10" t="s">
        <v>47</v>
      </c>
      <c r="B198" s="10">
        <f>VLOOKUP(przech_odp_zainteresowanie_turniej[[#This Row],[Zainteresowanie turniej]],zainteresowanie_turniej!A:C,2)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VLOOKUP(przech_odp_zainteresowanie_turniej[[#This Row],[Zainteresowanie turniej]],zainteresowanie_turniej!A:C,2)</f>
        <v>1</v>
      </c>
      <c r="C199">
        <v>131</v>
      </c>
      <c r="D199">
        <v>198</v>
      </c>
    </row>
    <row r="200" spans="1:4" x14ac:dyDescent="0.2">
      <c r="A200" s="10" t="s">
        <v>47</v>
      </c>
      <c r="B200" s="10">
        <f>VLOOKUP(przech_odp_zainteresowanie_turniej[[#This Row],[Zainteresowanie turniej]],zainteresowanie_turniej!A:C,2)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VLOOKUP(przech_odp_zainteresowanie_turniej[[#This Row],[Zainteresowanie turniej]],zainteresowanie_turniej!A:C,2)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VLOOKUP(przech_odp_zainteresowanie_turniej[[#This Row],[Zainteresowanie turniej]],zainteresowanie_turniej!A:C,2)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VLOOKUP(przech_odp_zainteresowanie_turniej[[#This Row],[Zainteresowanie turniej]],zainteresowanie_turniej!A:C,2)</f>
        <v>4</v>
      </c>
      <c r="C203">
        <v>134</v>
      </c>
      <c r="D203">
        <v>202</v>
      </c>
    </row>
    <row r="204" spans="1:4" x14ac:dyDescent="0.2">
      <c r="A204" s="10" t="s">
        <v>47</v>
      </c>
      <c r="B204" s="10">
        <f>VLOOKUP(przech_odp_zainteresowanie_turniej[[#This Row],[Zainteresowanie turniej]],zainteresowanie_turniej!A:C,2)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VLOOKUP(przech_odp_zainteresowanie_turniej[[#This Row],[Zainteresowanie turniej]],zainteresowanie_turniej!A:C,2)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VLOOKUP(przech_odp_zainteresowanie_turniej[[#This Row],[Zainteresowanie turniej]],zainteresowanie_turniej!A:C,2)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VLOOKUP(przech_odp_zainteresowanie_turniej[[#This Row],[Zainteresowanie turniej]],zainteresowanie_turniej!A:C,2)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VLOOKUP(przech_odp_zainteresowanie_turniej[[#This Row],[Zainteresowanie turniej]],zainteresowanie_turniej!A:C,2)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VLOOKUP(przech_odp_zainteresowanie_turniej[[#This Row],[Zainteresowanie turniej]],zainteresowanie_turniej!A:C,2)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VLOOKUP(przech_odp_zainteresowanie_turniej[[#This Row],[Zainteresowanie turniej]],zainteresowanie_turniej!A:C,2)</f>
        <v>4</v>
      </c>
      <c r="C210">
        <v>139</v>
      </c>
      <c r="D210">
        <v>209</v>
      </c>
    </row>
    <row r="211" spans="1:4" x14ac:dyDescent="0.2">
      <c r="A211" s="10" t="s">
        <v>47</v>
      </c>
      <c r="B211" s="10">
        <f>VLOOKUP(przech_odp_zainteresowanie_turniej[[#This Row],[Zainteresowanie turniej]],zainteresowanie_turniej!A:C,2)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VLOOKUP(przech_odp_zainteresowanie_turniej[[#This Row],[Zainteresowanie turniej]],zainteresowanie_turniej!A:C,2)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VLOOKUP(przech_odp_zainteresowanie_turniej[[#This Row],[Zainteresowanie turniej]],zainteresowanie_turniej!A:C,2)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VLOOKUP(przech_odp_zainteresowanie_turniej[[#This Row],[Zainteresowanie turniej]],zainteresowanie_turniej!A:C,2)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VLOOKUP(przech_odp_zainteresowanie_turniej[[#This Row],[Zainteresowanie turniej]],zainteresowanie_turniej!A:C,2)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VLOOKUP(przech_odp_zainteresowanie_turniej[[#This Row],[Zainteresowanie turniej]],zainteresowanie_turniej!A:C,2)</f>
        <v>4</v>
      </c>
      <c r="C216">
        <v>143</v>
      </c>
      <c r="D216">
        <v>215</v>
      </c>
    </row>
    <row r="217" spans="1:4" x14ac:dyDescent="0.2">
      <c r="A217" s="10" t="s">
        <v>47</v>
      </c>
      <c r="B217" s="10">
        <f>VLOOKUP(przech_odp_zainteresowanie_turniej[[#This Row],[Zainteresowanie turniej]],zainteresowanie_turniej!A:C,2)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VLOOKUP(przech_odp_zainteresowanie_turniej[[#This Row],[Zainteresowanie turniej]],zainteresowanie_turniej!A:C,2)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VLOOKUP(przech_odp_zainteresowanie_turniej[[#This Row],[Zainteresowanie turniej]],zainteresowanie_turniej!A:C,2)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VLOOKUP(przech_odp_zainteresowanie_turniej[[#This Row],[Zainteresowanie turniej]],zainteresowanie_turniej!A:C,2)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VLOOKUP(przech_odp_zainteresowanie_turniej[[#This Row],[Zainteresowanie turniej]],zainteresowanie_turniej!A:C,2)</f>
        <v>4</v>
      </c>
      <c r="C221">
        <v>146</v>
      </c>
      <c r="D221">
        <v>220</v>
      </c>
    </row>
    <row r="222" spans="1:4" x14ac:dyDescent="0.2">
      <c r="A222" s="10" t="s">
        <v>47</v>
      </c>
      <c r="B222" s="10">
        <f>VLOOKUP(przech_odp_zainteresowanie_turniej[[#This Row],[Zainteresowanie turniej]],zainteresowanie_turniej!A:C,2)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VLOOKUP(przech_odp_zainteresowanie_turniej[[#This Row],[Zainteresowanie turniej]],zainteresowanie_turniej!A:C,2)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VLOOKUP(przech_odp_zainteresowanie_turniej[[#This Row],[Zainteresowanie turniej]],zainteresowanie_turniej!A:C,2)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VLOOKUP(przech_odp_zainteresowanie_turniej[[#This Row],[Zainteresowanie turniej]],zainteresowanie_turniej!A:C,2)</f>
        <v>4</v>
      </c>
      <c r="C225">
        <v>148</v>
      </c>
      <c r="D225">
        <v>224</v>
      </c>
    </row>
    <row r="226" spans="1:4" x14ac:dyDescent="0.2">
      <c r="A226" s="10" t="s">
        <v>47</v>
      </c>
      <c r="B226" s="10">
        <f>VLOOKUP(przech_odp_zainteresowanie_turniej[[#This Row],[Zainteresowanie turniej]],zainteresowanie_turniej!A:C,2)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VLOOKUP(przech_odp_zainteresowanie_turniej[[#This Row],[Zainteresowanie turniej]],zainteresowanie_turniej!A:C,2)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VLOOKUP(przech_odp_zainteresowanie_turniej[[#This Row],[Zainteresowanie turniej]],zainteresowanie_turniej!A:C,2)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VLOOKUP(przech_odp_zainteresowanie_turniej[[#This Row],[Zainteresowanie turniej]],zainteresowanie_turniej!A:C,2)</f>
        <v>4</v>
      </c>
      <c r="C229">
        <v>150</v>
      </c>
      <c r="D229">
        <v>228</v>
      </c>
    </row>
    <row r="230" spans="1:4" x14ac:dyDescent="0.2">
      <c r="A230" s="10" t="s">
        <v>47</v>
      </c>
      <c r="B230" s="10">
        <f>VLOOKUP(przech_odp_zainteresowanie_turniej[[#This Row],[Zainteresowanie turniej]],zainteresowanie_turniej!A:C,2)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VLOOKUP(przech_odp_zainteresowanie_turniej[[#This Row],[Zainteresowanie turniej]],zainteresowanie_turniej!A:C,2)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VLOOKUP(przech_odp_zainteresowanie_turniej[[#This Row],[Zainteresowanie turniej]],zainteresowanie_turniej!A:C,2)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VLOOKUP(przech_odp_zainteresowanie_turniej[[#This Row],[Zainteresowanie turniej]],zainteresowanie_turniej!A:C,2)</f>
        <v>4</v>
      </c>
      <c r="C233">
        <v>152</v>
      </c>
      <c r="D233">
        <v>232</v>
      </c>
    </row>
    <row r="234" spans="1:4" x14ac:dyDescent="0.2">
      <c r="A234" s="10" t="s">
        <v>47</v>
      </c>
      <c r="B234" s="10">
        <f>VLOOKUP(przech_odp_zainteresowanie_turniej[[#This Row],[Zainteresowanie turniej]],zainteresowanie_turniej!A:C,2)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VLOOKUP(przech_odp_zainteresowanie_turniej[[#This Row],[Zainteresowanie turniej]],zainteresowanie_turniej!A:C,2)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VLOOKUP(przech_odp_zainteresowanie_turniej[[#This Row],[Zainteresowanie turniej]],zainteresowanie_turniej!A:C,2)</f>
        <v>4</v>
      </c>
      <c r="C236">
        <v>153</v>
      </c>
      <c r="D236">
        <v>235</v>
      </c>
    </row>
    <row r="237" spans="1:4" x14ac:dyDescent="0.2">
      <c r="A237" s="10" t="s">
        <v>47</v>
      </c>
      <c r="B237" s="10">
        <f>VLOOKUP(przech_odp_zainteresowanie_turniej[[#This Row],[Zainteresowanie turniej]],zainteresowanie_turniej!A:C,2)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VLOOKUP(przech_odp_zainteresowanie_turniej[[#This Row],[Zainteresowanie turniej]],zainteresowanie_turniej!A:C,2)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VLOOKUP(przech_odp_zainteresowanie_turniej[[#This Row],[Zainteresowanie turniej]],zainteresowanie_turniej!A:C,2)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VLOOKUP(przech_odp_zainteresowanie_turniej[[#This Row],[Zainteresowanie turniej]],zainteresowanie_turniej!A:C,2)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VLOOKUP(przech_odp_zainteresowanie_turniej[[#This Row],[Zainteresowanie turniej]],zainteresowanie_turniej!A:C,2)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VLOOKUP(przech_odp_zainteresowanie_turniej[[#This Row],[Zainteresowanie turniej]],zainteresowanie_turniej!A:C,2)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VLOOKUP(przech_odp_zainteresowanie_turniej[[#This Row],[Zainteresowanie turniej]],zainteresowanie_turniej!A:C,2)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VLOOKUP(przech_odp_zainteresowanie_turniej[[#This Row],[Zainteresowanie turniej]],zainteresowanie_turniej!A:C,2)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VLOOKUP(przech_odp_zainteresowanie_turniej[[#This Row],[Zainteresowanie turniej]],zainteresowanie_turniej!A:C,2)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VLOOKUP(przech_odp_zainteresowanie_turniej[[#This Row],[Zainteresowanie turniej]],zainteresowanie_turniej!A:C,2)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VLOOKUP(przech_odp_zainteresowanie_turniej[[#This Row],[Zainteresowanie turniej]],zainteresowanie_turniej!A:C,2)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VLOOKUP(przech_odp_zainteresowanie_turniej[[#This Row],[Zainteresowanie turniej]],zainteresowanie_turniej!A:C,2)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VLOOKUP(przech_odp_zainteresowanie_turniej[[#This Row],[Zainteresowanie turniej]],zainteresowanie_turniej!A:C,2)</f>
        <v>4</v>
      </c>
      <c r="C249">
        <v>163</v>
      </c>
      <c r="D249">
        <v>248</v>
      </c>
    </row>
    <row r="250" spans="1:4" x14ac:dyDescent="0.2">
      <c r="A250" s="10" t="s">
        <v>47</v>
      </c>
      <c r="B250" s="10">
        <f>VLOOKUP(przech_odp_zainteresowanie_turniej[[#This Row],[Zainteresowanie turniej]],zainteresowanie_turniej!A:C,2)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VLOOKUP(przech_odp_zainteresowanie_turniej[[#This Row],[Zainteresowanie turniej]],zainteresowanie_turniej!A:C,2)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VLOOKUP(przech_odp_zainteresowanie_turniej[[#This Row],[Zainteresowanie turniej]],zainteresowanie_turniej!A:C,2)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VLOOKUP(przech_odp_zainteresowanie_turniej[[#This Row],[Zainteresowanie turniej]],zainteresowanie_turniej!A:C,2)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VLOOKUP(przech_odp_zainteresowanie_turniej[[#This Row],[Zainteresowanie turniej]],zainteresowanie_turniej!A:C,2)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VLOOKUP(przech_odp_zainteresowanie_turniej[[#This Row],[Zainteresowanie turniej]],zainteresowanie_turniej!A:C,2)</f>
        <v>4</v>
      </c>
      <c r="C255">
        <v>167</v>
      </c>
      <c r="D255">
        <v>254</v>
      </c>
    </row>
    <row r="256" spans="1:4" x14ac:dyDescent="0.2">
      <c r="A256" s="10" t="s">
        <v>47</v>
      </c>
      <c r="B256" s="10">
        <f>VLOOKUP(przech_odp_zainteresowanie_turniej[[#This Row],[Zainteresowanie turniej]],zainteresowanie_turniej!A:C,2)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VLOOKUP(przech_odp_zainteresowanie_turniej[[#This Row],[Zainteresowanie turniej]],zainteresowanie_turniej!A:C,2)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VLOOKUP(przech_odp_zainteresowanie_turniej[[#This Row],[Zainteresowanie turniej]],zainteresowanie_turniej!A:C,2)</f>
        <v>4</v>
      </c>
      <c r="C258">
        <v>170</v>
      </c>
      <c r="D258">
        <v>257</v>
      </c>
    </row>
    <row r="259" spans="1:4" x14ac:dyDescent="0.2">
      <c r="A259" s="10" t="s">
        <v>47</v>
      </c>
      <c r="B259" s="10">
        <f>VLOOKUP(przech_odp_zainteresowanie_turniej[[#This Row],[Zainteresowanie turniej]],zainteresowanie_turniej!A:C,2)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VLOOKUP(przech_odp_zainteresowanie_turniej[[#This Row],[Zainteresowanie turniej]],zainteresowanie_turniej!A:C,2)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VLOOKUP(przech_odp_zainteresowanie_turniej[[#This Row],[Zainteresowanie turniej]],zainteresowanie_turniej!A:C,2)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VLOOKUP(przech_odp_zainteresowanie_turniej[[#This Row],[Zainteresowanie turniej]],zainteresowanie_turniej!A:C,2)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VLOOKUP(przech_odp_zainteresowanie_turniej[[#This Row],[Zainteresowanie turniej]],zainteresowanie_turniej!A:C,2)</f>
        <v>4</v>
      </c>
      <c r="C263">
        <v>173</v>
      </c>
      <c r="D263">
        <v>262</v>
      </c>
    </row>
    <row r="264" spans="1:4" x14ac:dyDescent="0.2">
      <c r="A264" s="10" t="s">
        <v>47</v>
      </c>
      <c r="B264" s="10">
        <f>VLOOKUP(przech_odp_zainteresowanie_turniej[[#This Row],[Zainteresowanie turniej]],zainteresowanie_turniej!A:C,2)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VLOOKUP(przech_odp_zainteresowanie_turniej[[#This Row],[Zainteresowanie turniej]],zainteresowanie_turniej!A:C,2)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VLOOKUP(przech_odp_zainteresowanie_turniej[[#This Row],[Zainteresowanie turniej]],zainteresowanie_turniej!A:C,2)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VLOOKUP(przech_odp_zainteresowanie_turniej[[#This Row],[Zainteresowanie turniej]],zainteresowanie_turniej!A:C,2)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VLOOKUP(przech_odp_zainteresowanie_turniej[[#This Row],[Zainteresowanie turniej]],zainteresowanie_turniej!A:C,2)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VLOOKUP(przech_odp_zainteresowanie_turniej[[#This Row],[Zainteresowanie turniej]],zainteresowanie_turniej!A:C,2)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VLOOKUP(przech_odp_zainteresowanie_turniej[[#This Row],[Zainteresowanie turniej]],zainteresowanie_turniej!A:C,2)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VLOOKUP(przech_odp_zainteresowanie_turniej[[#This Row],[Zainteresowanie turniej]],zainteresowanie_turniej!A:C,2)</f>
        <v>4</v>
      </c>
      <c r="C271">
        <v>179</v>
      </c>
      <c r="D271">
        <v>270</v>
      </c>
    </row>
    <row r="272" spans="1:4" x14ac:dyDescent="0.2">
      <c r="A272" s="10" t="s">
        <v>47</v>
      </c>
      <c r="B272" s="10">
        <f>VLOOKUP(przech_odp_zainteresowanie_turniej[[#This Row],[Zainteresowanie turniej]],zainteresowanie_turniej!A:C,2)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VLOOKUP(przech_odp_zainteresowanie_turniej[[#This Row],[Zainteresowanie turniej]],zainteresowanie_turniej!A:C,2)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VLOOKUP(przech_odp_zainteresowanie_turniej[[#This Row],[Zainteresowanie turniej]],zainteresowanie_turniej!A:C,2)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VLOOKUP(przech_odp_zainteresowanie_turniej[[#This Row],[Zainteresowanie turniej]],zainteresowanie_turniej!A:C,2)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VLOOKUP(przech_odp_zainteresowanie_turniej[[#This Row],[Zainteresowanie turniej]],zainteresowanie_turniej!A:C,2)</f>
        <v>4</v>
      </c>
      <c r="C276">
        <v>182</v>
      </c>
      <c r="D276">
        <v>275</v>
      </c>
    </row>
    <row r="277" spans="1:4" x14ac:dyDescent="0.2">
      <c r="A277" s="10" t="s">
        <v>47</v>
      </c>
      <c r="B277" s="10">
        <f>VLOOKUP(przech_odp_zainteresowanie_turniej[[#This Row],[Zainteresowanie turniej]],zainteresowanie_turniej!A:C,2)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VLOOKUP(przech_odp_zainteresowanie_turniej[[#This Row],[Zainteresowanie turniej]],zainteresowanie_turniej!A:C,2)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VLOOKUP(przech_odp_zainteresowanie_turniej[[#This Row],[Zainteresowanie turniej]],zainteresowanie_turniej!A:C,2)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VLOOKUP(przech_odp_zainteresowanie_turniej[[#This Row],[Zainteresowanie turniej]],zainteresowanie_turniej!A:C,2)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VLOOKUP(przech_odp_zainteresowanie_turniej[[#This Row],[Zainteresowanie turniej]],zainteresowanie_turniej!A:C,2)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VLOOKUP(przech_odp_zainteresowanie_turniej[[#This Row],[Zainteresowanie turniej]],zainteresowanie_turniej!A:C,2)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VLOOKUP(przech_odp_zainteresowanie_turniej[[#This Row],[Zainteresowanie turniej]],zainteresowanie_turniej!A:C,2)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VLOOKUP(przech_odp_zainteresowanie_turniej[[#This Row],[Zainteresowanie turniej]],zainteresowanie_turniej!A:C,2)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VLOOKUP(przech_odp_zainteresowanie_turniej[[#This Row],[Zainteresowanie turniej]],zainteresowanie_turniej!A:C,2)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VLOOKUP(przech_odp_zainteresowanie_turniej[[#This Row],[Zainteresowanie turniej]],zainteresowanie_turniej!A:C,2)</f>
        <v>4</v>
      </c>
      <c r="C286">
        <v>189</v>
      </c>
      <c r="D286">
        <v>285</v>
      </c>
    </row>
    <row r="287" spans="1:4" x14ac:dyDescent="0.2">
      <c r="A287" s="10" t="s">
        <v>47</v>
      </c>
      <c r="B287" s="10">
        <f>VLOOKUP(przech_odp_zainteresowanie_turniej[[#This Row],[Zainteresowanie turniej]],zainteresowanie_turniej!A:C,2)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VLOOKUP(przech_odp_zainteresowanie_turniej[[#This Row],[Zainteresowanie turniej]],zainteresowanie_turniej!A:C,2)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VLOOKUP(przech_odp_zainteresowanie_turniej[[#This Row],[Zainteresowanie turniej]],zainteresowanie_turniej!A:C,2)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VLOOKUP(przech_odp_zainteresowanie_turniej[[#This Row],[Zainteresowanie turniej]],zainteresowanie_turniej!A:C,2)</f>
        <v>4</v>
      </c>
      <c r="C290">
        <v>191</v>
      </c>
      <c r="D290">
        <v>289</v>
      </c>
    </row>
    <row r="291" spans="1:4" x14ac:dyDescent="0.2">
      <c r="A291" s="10" t="s">
        <v>47</v>
      </c>
      <c r="B291" s="10">
        <f>VLOOKUP(przech_odp_zainteresowanie_turniej[[#This Row],[Zainteresowanie turniej]],zainteresowanie_turniej!A:C,2)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VLOOKUP(przech_odp_zainteresowanie_turniej[[#This Row],[Zainteresowanie turniej]],zainteresowanie_turniej!A:C,2)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VLOOKUP(przech_odp_zainteresowanie_turniej[[#This Row],[Zainteresowanie turniej]],zainteresowanie_turniej!A:C,2)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VLOOKUP(przech_odp_zainteresowanie_turniej[[#This Row],[Zainteresowanie turniej]],zainteresowanie_turniej!A:C,2)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VLOOKUP(przech_odp_zainteresowanie_turniej[[#This Row],[Zainteresowanie turniej]],zainteresowanie_turniej!A:C,2)</f>
        <v>1</v>
      </c>
      <c r="C295">
        <v>193</v>
      </c>
      <c r="D295">
        <v>294</v>
      </c>
    </row>
    <row r="296" spans="1:4" x14ac:dyDescent="0.2">
      <c r="A296" s="10" t="s">
        <v>47</v>
      </c>
      <c r="B296" s="10">
        <f>VLOOKUP(przech_odp_zainteresowanie_turniej[[#This Row],[Zainteresowanie turniej]],zainteresowanie_turniej!A:C,2)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VLOOKUP(przech_odp_zainteresowanie_turniej[[#This Row],[Zainteresowanie turniej]],zainteresowanie_turniej!A:C,2)</f>
        <v>4</v>
      </c>
      <c r="C297">
        <v>195</v>
      </c>
      <c r="D297">
        <v>296</v>
      </c>
    </row>
    <row r="298" spans="1:4" x14ac:dyDescent="0.2">
      <c r="A298" s="10" t="s">
        <v>47</v>
      </c>
      <c r="B298" s="10">
        <f>VLOOKUP(przech_odp_zainteresowanie_turniej[[#This Row],[Zainteresowanie turniej]],zainteresowanie_turniej!A:C,2)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VLOOKUP(przech_odp_zainteresowanie_turniej[[#This Row],[Zainteresowanie turniej]],zainteresowanie_turniej!A:C,2)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VLOOKUP(przech_odp_zainteresowanie_turniej[[#This Row],[Zainteresowanie turniej]],zainteresowanie_turniej!A:C,2)</f>
        <v>2</v>
      </c>
      <c r="C300">
        <v>197</v>
      </c>
      <c r="D300">
        <v>299</v>
      </c>
    </row>
    <row r="301" spans="1:4" x14ac:dyDescent="0.2">
      <c r="A301" s="10" t="s">
        <v>47</v>
      </c>
      <c r="B301" s="10">
        <f>VLOOKUP(przech_odp_zainteresowanie_turniej[[#This Row],[Zainteresowanie turniej]],zainteresowanie_turniej!A:C,2)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VLOOKUP(przech_odp_zainteresowanie_turniej[[#This Row],[Zainteresowanie turniej]],zainteresowanie_turniej!A:C,2)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workbookViewId="0">
      <selection activeCell="G18" sqref="G18"/>
    </sheetView>
  </sheetViews>
  <sheetFormatPr defaultRowHeight="12.75" x14ac:dyDescent="0.2"/>
  <cols>
    <col min="1" max="1" width="71.140625" bestFit="1" customWidth="1"/>
    <col min="2" max="2" width="28.140625" bestFit="1" customWidth="1"/>
    <col min="3" max="3" width="9.42578125" bestFit="1" customWidth="1"/>
    <col min="4" max="4" width="40" bestFit="1" customWidth="1"/>
    <col min="5" max="5" width="9.42578125" bestFit="1" customWidth="1"/>
  </cols>
  <sheetData>
    <row r="1" spans="1:4" x14ac:dyDescent="0.2">
      <c r="A1" t="s">
        <v>87</v>
      </c>
      <c r="B1" s="11" t="s">
        <v>203</v>
      </c>
      <c r="C1" t="s">
        <v>199</v>
      </c>
      <c r="D1" s="11" t="s">
        <v>209</v>
      </c>
    </row>
    <row r="2" spans="1:4" x14ac:dyDescent="0.2">
      <c r="A2" s="10" t="s">
        <v>174</v>
      </c>
      <c r="B2" s="10">
        <f>VLOOKUP(przech_odp_zainteresowanie_esport[[#This Row],[Zainteresowanie e-sport]],zainteresowanie_esport!A:C,2)</f>
        <v>4</v>
      </c>
      <c r="C2">
        <v>1</v>
      </c>
      <c r="D2">
        <v>1</v>
      </c>
    </row>
    <row r="3" spans="1:4" x14ac:dyDescent="0.2">
      <c r="A3" s="10" t="s">
        <v>174</v>
      </c>
      <c r="B3" s="10">
        <f>VLOOKUP(przech_odp_zainteresowanie_esport[[#This Row],[Zainteresowanie e-sport]],zainteresowanie_esport!A:C,2)</f>
        <v>4</v>
      </c>
      <c r="C3">
        <v>2</v>
      </c>
      <c r="D3">
        <v>2</v>
      </c>
    </row>
    <row r="4" spans="1:4" x14ac:dyDescent="0.2">
      <c r="A4" s="10" t="s">
        <v>175</v>
      </c>
      <c r="B4" s="10">
        <f>VLOOKUP(przech_odp_zainteresowanie_esport[[#This Row],[Zainteresowanie e-sport]],zainteresowanie_esport!A:C,2)</f>
        <v>5</v>
      </c>
      <c r="C4">
        <v>3</v>
      </c>
      <c r="D4">
        <v>3</v>
      </c>
    </row>
    <row r="5" spans="1:4" x14ac:dyDescent="0.2">
      <c r="A5" s="10" t="s">
        <v>174</v>
      </c>
      <c r="B5" s="10">
        <f>VLOOKUP(przech_odp_zainteresowanie_esport[[#This Row],[Zainteresowanie e-sport]],zainteresowanie_esport!A:C,2)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VLOOKUP(przech_odp_zainteresowanie_esport[[#This Row],[Zainteresowanie e-sport]],zainteresowanie_esport!A:C,2)</f>
        <v>1</v>
      </c>
      <c r="C6">
        <v>4</v>
      </c>
      <c r="D6">
        <v>5</v>
      </c>
    </row>
    <row r="7" spans="1:4" x14ac:dyDescent="0.2">
      <c r="A7" s="10" t="s">
        <v>174</v>
      </c>
      <c r="B7" s="10">
        <f>VLOOKUP(przech_odp_zainteresowanie_esport[[#This Row],[Zainteresowanie e-sport]],zainteresowanie_esport!A:C,2)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VLOOKUP(przech_odp_zainteresowanie_esport[[#This Row],[Zainteresowanie e-sport]],zainteresowanie_esport!A:C,2)</f>
        <v>1</v>
      </c>
      <c r="C8">
        <v>6</v>
      </c>
      <c r="D8">
        <v>7</v>
      </c>
    </row>
    <row r="9" spans="1:4" x14ac:dyDescent="0.2">
      <c r="A9" s="10" t="s">
        <v>174</v>
      </c>
      <c r="B9" s="10">
        <f>VLOOKUP(przech_odp_zainteresowanie_esport[[#This Row],[Zainteresowanie e-sport]],zainteresowanie_esport!A:C,2)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VLOOKUP(przech_odp_zainteresowanie_esport[[#This Row],[Zainteresowanie e-sport]],zainteresowanie_esport!A:C,2)</f>
        <v>1</v>
      </c>
      <c r="C10">
        <v>8</v>
      </c>
      <c r="D10">
        <v>9</v>
      </c>
    </row>
    <row r="11" spans="1:4" x14ac:dyDescent="0.2">
      <c r="A11" s="10" t="s">
        <v>176</v>
      </c>
      <c r="B11" s="10">
        <f>VLOOKUP(przech_odp_zainteresowanie_esport[[#This Row],[Zainteresowanie e-sport]],zainteresowanie_esport!A:C,2)</f>
        <v>3</v>
      </c>
      <c r="C11">
        <v>9</v>
      </c>
      <c r="D11">
        <v>10</v>
      </c>
    </row>
    <row r="12" spans="1:4" x14ac:dyDescent="0.2">
      <c r="A12" s="10" t="s">
        <v>174</v>
      </c>
      <c r="B12" s="10">
        <f>VLOOKUP(przech_odp_zainteresowanie_esport[[#This Row],[Zainteresowanie e-sport]],zainteresowanie_esport!A:C,2)</f>
        <v>4</v>
      </c>
      <c r="C12">
        <v>10</v>
      </c>
      <c r="D12">
        <v>11</v>
      </c>
    </row>
    <row r="13" spans="1:4" x14ac:dyDescent="0.2">
      <c r="A13" s="10" t="s">
        <v>176</v>
      </c>
      <c r="B13" s="10">
        <f>VLOOKUP(przech_odp_zainteresowanie_esport[[#This Row],[Zainteresowanie e-sport]],zainteresowanie_esport!A:C,2)</f>
        <v>3</v>
      </c>
      <c r="C13">
        <v>11</v>
      </c>
      <c r="D13">
        <v>12</v>
      </c>
    </row>
    <row r="14" spans="1:4" x14ac:dyDescent="0.2">
      <c r="A14" s="10" t="s">
        <v>176</v>
      </c>
      <c r="B14" s="10">
        <f>VLOOKUP(przech_odp_zainteresowanie_esport[[#This Row],[Zainteresowanie e-sport]],zainteresowanie_esport!A:C,2)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VLOOKUP(przech_odp_zainteresowanie_esport[[#This Row],[Zainteresowanie e-sport]],zainteresowanie_esport!A:C,2)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VLOOKUP(przech_odp_zainteresowanie_esport[[#This Row],[Zainteresowanie e-sport]],zainteresowanie_esport!A:C,2)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VLOOKUP(przech_odp_zainteresowanie_esport[[#This Row],[Zainteresowanie e-sport]],zainteresowanie_esport!A:C,2)</f>
        <v>1</v>
      </c>
      <c r="C17">
        <v>15</v>
      </c>
      <c r="D17">
        <v>16</v>
      </c>
    </row>
    <row r="18" spans="1:4" x14ac:dyDescent="0.2">
      <c r="A18" s="10" t="s">
        <v>176</v>
      </c>
      <c r="B18" s="10">
        <f>VLOOKUP(przech_odp_zainteresowanie_esport[[#This Row],[Zainteresowanie e-sport]],zainteresowanie_esport!A:C,2)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VLOOKUP(przech_odp_zainteresowanie_esport[[#This Row],[Zainteresowanie e-sport]],zainteresowanie_esport!A:C,2)</f>
        <v>2</v>
      </c>
      <c r="C19">
        <v>17</v>
      </c>
      <c r="D19">
        <v>18</v>
      </c>
    </row>
    <row r="20" spans="1:4" x14ac:dyDescent="0.2">
      <c r="A20" s="10" t="s">
        <v>176</v>
      </c>
      <c r="B20" s="10">
        <f>VLOOKUP(przech_odp_zainteresowanie_esport[[#This Row],[Zainteresowanie e-sport]],zainteresowanie_esport!A:C,2)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VLOOKUP(przech_odp_zainteresowanie_esport[[#This Row],[Zainteresowanie e-sport]],zainteresowanie_esport!A:C,2)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VLOOKUP(przech_odp_zainteresowanie_esport[[#This Row],[Zainteresowanie e-sport]],zainteresowanie_esport!A:C,2)</f>
        <v>1</v>
      </c>
      <c r="C22">
        <v>20</v>
      </c>
      <c r="D22">
        <v>21</v>
      </c>
    </row>
    <row r="23" spans="1:4" x14ac:dyDescent="0.2">
      <c r="A23" s="10" t="s">
        <v>175</v>
      </c>
      <c r="B23" s="10">
        <f>VLOOKUP(przech_odp_zainteresowanie_esport[[#This Row],[Zainteresowanie e-sport]],zainteresowanie_esport!A:C,2)</f>
        <v>5</v>
      </c>
      <c r="C23">
        <v>21</v>
      </c>
      <c r="D23">
        <v>22</v>
      </c>
    </row>
    <row r="24" spans="1:4" x14ac:dyDescent="0.2">
      <c r="A24" s="10" t="s">
        <v>174</v>
      </c>
      <c r="B24" s="10">
        <f>VLOOKUP(przech_odp_zainteresowanie_esport[[#This Row],[Zainteresowanie e-sport]],zainteresowanie_esport!A:C,2)</f>
        <v>4</v>
      </c>
      <c r="C24">
        <v>21</v>
      </c>
      <c r="D24">
        <v>23</v>
      </c>
    </row>
    <row r="25" spans="1:4" x14ac:dyDescent="0.2">
      <c r="A25" s="10" t="s">
        <v>174</v>
      </c>
      <c r="B25" s="10">
        <f>VLOOKUP(przech_odp_zainteresowanie_esport[[#This Row],[Zainteresowanie e-sport]],zainteresowanie_esport!A:C,2)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VLOOKUP(przech_odp_zainteresowanie_esport[[#This Row],[Zainteresowanie e-sport]],zainteresowanie_esport!A:C,2)</f>
        <v>2</v>
      </c>
      <c r="C26">
        <v>23</v>
      </c>
      <c r="D26">
        <v>25</v>
      </c>
    </row>
    <row r="27" spans="1:4" x14ac:dyDescent="0.2">
      <c r="A27" s="10" t="s">
        <v>176</v>
      </c>
      <c r="B27" s="10">
        <f>VLOOKUP(przech_odp_zainteresowanie_esport[[#This Row],[Zainteresowanie e-sport]],zainteresowanie_esport!A:C,2)</f>
        <v>3</v>
      </c>
      <c r="C27">
        <v>24</v>
      </c>
      <c r="D27">
        <v>26</v>
      </c>
    </row>
    <row r="28" spans="1:4" x14ac:dyDescent="0.2">
      <c r="A28" s="10" t="s">
        <v>175</v>
      </c>
      <c r="B28" s="10">
        <f>VLOOKUP(przech_odp_zainteresowanie_esport[[#This Row],[Zainteresowanie e-sport]],zainteresowanie_esport!A:C,2)</f>
        <v>5</v>
      </c>
      <c r="C28">
        <v>25</v>
      </c>
      <c r="D28">
        <v>27</v>
      </c>
    </row>
    <row r="29" spans="1:4" x14ac:dyDescent="0.2">
      <c r="A29" s="10" t="s">
        <v>174</v>
      </c>
      <c r="B29" s="10">
        <f>VLOOKUP(przech_odp_zainteresowanie_esport[[#This Row],[Zainteresowanie e-sport]],zainteresowanie_esport!A:C,2)</f>
        <v>4</v>
      </c>
      <c r="C29">
        <v>26</v>
      </c>
      <c r="D29">
        <v>28</v>
      </c>
    </row>
    <row r="30" spans="1:4" x14ac:dyDescent="0.2">
      <c r="A30" s="10" t="s">
        <v>175</v>
      </c>
      <c r="B30" s="10">
        <f>VLOOKUP(przech_odp_zainteresowanie_esport[[#This Row],[Zainteresowanie e-sport]],zainteresowanie_esport!A:C,2)</f>
        <v>5</v>
      </c>
      <c r="C30">
        <v>27</v>
      </c>
      <c r="D30">
        <v>29</v>
      </c>
    </row>
    <row r="31" spans="1:4" x14ac:dyDescent="0.2">
      <c r="A31" s="10" t="s">
        <v>174</v>
      </c>
      <c r="B31" s="10">
        <f>VLOOKUP(przech_odp_zainteresowanie_esport[[#This Row],[Zainteresowanie e-sport]],zainteresowanie_esport!A:C,2)</f>
        <v>4</v>
      </c>
      <c r="C31">
        <v>27</v>
      </c>
      <c r="D31">
        <v>30</v>
      </c>
    </row>
    <row r="32" spans="1:4" x14ac:dyDescent="0.2">
      <c r="A32" s="10" t="s">
        <v>176</v>
      </c>
      <c r="B32" s="10">
        <f>VLOOKUP(przech_odp_zainteresowanie_esport[[#This Row],[Zainteresowanie e-sport]],zainteresowanie_esport!A:C,2)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VLOOKUP(przech_odp_zainteresowanie_esport[[#This Row],[Zainteresowanie e-sport]],zainteresowanie_esport!A:C,2)</f>
        <v>1</v>
      </c>
      <c r="C33">
        <v>29</v>
      </c>
      <c r="D33">
        <v>32</v>
      </c>
    </row>
    <row r="34" spans="1:4" x14ac:dyDescent="0.2">
      <c r="A34" s="10" t="s">
        <v>175</v>
      </c>
      <c r="B34" s="10">
        <f>VLOOKUP(przech_odp_zainteresowanie_esport[[#This Row],[Zainteresowanie e-sport]],zainteresowanie_esport!A:C,2)</f>
        <v>5</v>
      </c>
      <c r="C34">
        <v>30</v>
      </c>
      <c r="D34">
        <v>33</v>
      </c>
    </row>
    <row r="35" spans="1:4" x14ac:dyDescent="0.2">
      <c r="A35" s="10" t="s">
        <v>174</v>
      </c>
      <c r="B35" s="10">
        <f>VLOOKUP(przech_odp_zainteresowanie_esport[[#This Row],[Zainteresowanie e-sport]],zainteresowanie_esport!A:C,2)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VLOOKUP(przech_odp_zainteresowanie_esport[[#This Row],[Zainteresowanie e-sport]],zainteresowanie_esport!A:C,2)</f>
        <v>1</v>
      </c>
      <c r="C36">
        <v>31</v>
      </c>
      <c r="D36">
        <v>35</v>
      </c>
    </row>
    <row r="37" spans="1:4" x14ac:dyDescent="0.2">
      <c r="A37" s="10" t="s">
        <v>176</v>
      </c>
      <c r="B37" s="10">
        <f>VLOOKUP(przech_odp_zainteresowanie_esport[[#This Row],[Zainteresowanie e-sport]],zainteresowanie_esport!A:C,2)</f>
        <v>3</v>
      </c>
      <c r="C37">
        <v>32</v>
      </c>
      <c r="D37">
        <v>36</v>
      </c>
    </row>
    <row r="38" spans="1:4" x14ac:dyDescent="0.2">
      <c r="A38" s="10" t="s">
        <v>175</v>
      </c>
      <c r="B38" s="10">
        <f>VLOOKUP(przech_odp_zainteresowanie_esport[[#This Row],[Zainteresowanie e-sport]],zainteresowanie_esport!A:C,2)</f>
        <v>5</v>
      </c>
      <c r="C38">
        <v>33</v>
      </c>
      <c r="D38">
        <v>37</v>
      </c>
    </row>
    <row r="39" spans="1:4" x14ac:dyDescent="0.2">
      <c r="A39" s="10" t="s">
        <v>174</v>
      </c>
      <c r="B39" s="10">
        <f>VLOOKUP(przech_odp_zainteresowanie_esport[[#This Row],[Zainteresowanie e-sport]],zainteresowanie_esport!A:C,2)</f>
        <v>4</v>
      </c>
      <c r="C39">
        <v>33</v>
      </c>
      <c r="D39">
        <v>38</v>
      </c>
    </row>
    <row r="40" spans="1:4" x14ac:dyDescent="0.2">
      <c r="A40" s="10" t="s">
        <v>175</v>
      </c>
      <c r="B40" s="10">
        <f>VLOOKUP(przech_odp_zainteresowanie_esport[[#This Row],[Zainteresowanie e-sport]],zainteresowanie_esport!A:C,2)</f>
        <v>5</v>
      </c>
      <c r="C40">
        <v>34</v>
      </c>
      <c r="D40">
        <v>39</v>
      </c>
    </row>
    <row r="41" spans="1:4" x14ac:dyDescent="0.2">
      <c r="A41" s="10" t="s">
        <v>174</v>
      </c>
      <c r="B41" s="10">
        <f>VLOOKUP(przech_odp_zainteresowanie_esport[[#This Row],[Zainteresowanie e-sport]],zainteresowanie_esport!A:C,2)</f>
        <v>4</v>
      </c>
      <c r="C41">
        <v>34</v>
      </c>
      <c r="D41">
        <v>40</v>
      </c>
    </row>
    <row r="42" spans="1:4" x14ac:dyDescent="0.2">
      <c r="A42" s="10" t="s">
        <v>176</v>
      </c>
      <c r="B42" s="10">
        <f>VLOOKUP(przech_odp_zainteresowanie_esport[[#This Row],[Zainteresowanie e-sport]],zainteresowanie_esport!A:C,2)</f>
        <v>3</v>
      </c>
      <c r="C42">
        <v>35</v>
      </c>
      <c r="D42">
        <v>41</v>
      </c>
    </row>
    <row r="43" spans="1:4" x14ac:dyDescent="0.2">
      <c r="A43" s="10" t="s">
        <v>176</v>
      </c>
      <c r="B43" s="10">
        <f>VLOOKUP(przech_odp_zainteresowanie_esport[[#This Row],[Zainteresowanie e-sport]],zainteresowanie_esport!A:C,2)</f>
        <v>3</v>
      </c>
      <c r="C43">
        <v>36</v>
      </c>
      <c r="D43">
        <v>42</v>
      </c>
    </row>
    <row r="44" spans="1:4" x14ac:dyDescent="0.2">
      <c r="A44" s="10" t="s">
        <v>175</v>
      </c>
      <c r="B44" s="10">
        <f>VLOOKUP(przech_odp_zainteresowanie_esport[[#This Row],[Zainteresowanie e-sport]],zainteresowanie_esport!A:C,2)</f>
        <v>5</v>
      </c>
      <c r="C44">
        <v>37</v>
      </c>
      <c r="D44">
        <v>43</v>
      </c>
    </row>
    <row r="45" spans="1:4" x14ac:dyDescent="0.2">
      <c r="A45" s="10" t="s">
        <v>174</v>
      </c>
      <c r="B45" s="10">
        <f>VLOOKUP(przech_odp_zainteresowanie_esport[[#This Row],[Zainteresowanie e-sport]],zainteresowanie_esport!A:C,2)</f>
        <v>4</v>
      </c>
      <c r="C45">
        <v>37</v>
      </c>
      <c r="D45">
        <v>44</v>
      </c>
    </row>
    <row r="46" spans="1:4" x14ac:dyDescent="0.2">
      <c r="A46" s="10" t="s">
        <v>174</v>
      </c>
      <c r="B46" s="10">
        <f>VLOOKUP(przech_odp_zainteresowanie_esport[[#This Row],[Zainteresowanie e-sport]],zainteresowanie_esport!A:C,2)</f>
        <v>4</v>
      </c>
      <c r="C46">
        <v>38</v>
      </c>
      <c r="D46">
        <v>45</v>
      </c>
    </row>
    <row r="47" spans="1:4" x14ac:dyDescent="0.2">
      <c r="A47" s="10" t="s">
        <v>176</v>
      </c>
      <c r="B47" s="10">
        <f>VLOOKUP(przech_odp_zainteresowanie_esport[[#This Row],[Zainteresowanie e-sport]],zainteresowanie_esport!A:C,2)</f>
        <v>3</v>
      </c>
      <c r="C47">
        <v>39</v>
      </c>
      <c r="D47">
        <v>46</v>
      </c>
    </row>
    <row r="48" spans="1:4" x14ac:dyDescent="0.2">
      <c r="A48" s="10" t="s">
        <v>175</v>
      </c>
      <c r="B48" s="10">
        <f>VLOOKUP(przech_odp_zainteresowanie_esport[[#This Row],[Zainteresowanie e-sport]],zainteresowanie_esport!A:C,2)</f>
        <v>5</v>
      </c>
      <c r="C48">
        <v>40</v>
      </c>
      <c r="D48">
        <v>47</v>
      </c>
    </row>
    <row r="49" spans="1:4" x14ac:dyDescent="0.2">
      <c r="A49" s="10" t="s">
        <v>174</v>
      </c>
      <c r="B49" s="10">
        <f>VLOOKUP(przech_odp_zainteresowanie_esport[[#This Row],[Zainteresowanie e-sport]],zainteresowanie_esport!A:C,2)</f>
        <v>4</v>
      </c>
      <c r="C49">
        <v>40</v>
      </c>
      <c r="D49">
        <v>48</v>
      </c>
    </row>
    <row r="50" spans="1:4" x14ac:dyDescent="0.2">
      <c r="A50" s="10" t="s">
        <v>175</v>
      </c>
      <c r="B50" s="10">
        <f>VLOOKUP(przech_odp_zainteresowanie_esport[[#This Row],[Zainteresowanie e-sport]],zainteresowanie_esport!A:C,2)</f>
        <v>5</v>
      </c>
      <c r="C50">
        <v>41</v>
      </c>
      <c r="D50">
        <v>49</v>
      </c>
    </row>
    <row r="51" spans="1:4" x14ac:dyDescent="0.2">
      <c r="A51" s="10" t="s">
        <v>176</v>
      </c>
      <c r="B51" s="10">
        <f>VLOOKUP(przech_odp_zainteresowanie_esport[[#This Row],[Zainteresowanie e-sport]],zainteresowanie_esport!A:C,2)</f>
        <v>3</v>
      </c>
      <c r="C51">
        <v>42</v>
      </c>
      <c r="D51">
        <v>50</v>
      </c>
    </row>
    <row r="52" spans="1:4" x14ac:dyDescent="0.2">
      <c r="A52" s="10" t="s">
        <v>175</v>
      </c>
      <c r="B52" s="10">
        <f>VLOOKUP(przech_odp_zainteresowanie_esport[[#This Row],[Zainteresowanie e-sport]],zainteresowanie_esport!A:C,2)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VLOOKUP(przech_odp_zainteresowanie_esport[[#This Row],[Zainteresowanie e-sport]],zainteresowanie_esport!A:C,2)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VLOOKUP(przech_odp_zainteresowanie_esport[[#This Row],[Zainteresowanie e-sport]],zainteresowanie_esport!A:C,2)</f>
        <v>1</v>
      </c>
      <c r="C54">
        <v>45</v>
      </c>
      <c r="D54">
        <v>53</v>
      </c>
    </row>
    <row r="55" spans="1:4" x14ac:dyDescent="0.2">
      <c r="A55" s="10" t="s">
        <v>176</v>
      </c>
      <c r="B55" s="10">
        <f>VLOOKUP(przech_odp_zainteresowanie_esport[[#This Row],[Zainteresowanie e-sport]],zainteresowanie_esport!A:C,2)</f>
        <v>3</v>
      </c>
      <c r="C55">
        <v>46</v>
      </c>
      <c r="D55">
        <v>54</v>
      </c>
    </row>
    <row r="56" spans="1:4" x14ac:dyDescent="0.2">
      <c r="A56" s="10" t="s">
        <v>175</v>
      </c>
      <c r="B56" s="10">
        <f>VLOOKUP(przech_odp_zainteresowanie_esport[[#This Row],[Zainteresowanie e-sport]],zainteresowanie_esport!A:C,2)</f>
        <v>5</v>
      </c>
      <c r="C56">
        <v>47</v>
      </c>
      <c r="D56">
        <v>55</v>
      </c>
    </row>
    <row r="57" spans="1:4" x14ac:dyDescent="0.2">
      <c r="A57" s="10" t="s">
        <v>174</v>
      </c>
      <c r="B57" s="10">
        <f>VLOOKUP(przech_odp_zainteresowanie_esport[[#This Row],[Zainteresowanie e-sport]],zainteresowanie_esport!A:C,2)</f>
        <v>4</v>
      </c>
      <c r="C57">
        <v>47</v>
      </c>
      <c r="D57">
        <v>56</v>
      </c>
    </row>
    <row r="58" spans="1:4" x14ac:dyDescent="0.2">
      <c r="A58" s="10" t="s">
        <v>176</v>
      </c>
      <c r="B58" s="10">
        <f>VLOOKUP(przech_odp_zainteresowanie_esport[[#This Row],[Zainteresowanie e-sport]],zainteresowanie_esport!A:C,2)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VLOOKUP(przech_odp_zainteresowanie_esport[[#This Row],[Zainteresowanie e-sport]],zainteresowanie_esport!A:C,2)</f>
        <v>1</v>
      </c>
      <c r="C59">
        <v>48</v>
      </c>
      <c r="D59">
        <v>58</v>
      </c>
    </row>
    <row r="60" spans="1:4" x14ac:dyDescent="0.2">
      <c r="A60" s="10" t="s">
        <v>174</v>
      </c>
      <c r="B60" s="10">
        <f>VLOOKUP(przech_odp_zainteresowanie_esport[[#This Row],[Zainteresowanie e-sport]],zainteresowanie_esport!A:C,2)</f>
        <v>4</v>
      </c>
      <c r="C60">
        <v>49</v>
      </c>
      <c r="D60">
        <v>59</v>
      </c>
    </row>
    <row r="61" spans="1:4" x14ac:dyDescent="0.2">
      <c r="A61" s="10" t="s">
        <v>175</v>
      </c>
      <c r="B61" s="10">
        <f>VLOOKUP(przech_odp_zainteresowanie_esport[[#This Row],[Zainteresowanie e-sport]],zainteresowanie_esport!A:C,2)</f>
        <v>5</v>
      </c>
      <c r="C61">
        <v>50</v>
      </c>
      <c r="D61">
        <v>60</v>
      </c>
    </row>
    <row r="62" spans="1:4" x14ac:dyDescent="0.2">
      <c r="A62" s="10" t="s">
        <v>174</v>
      </c>
      <c r="B62" s="10">
        <f>VLOOKUP(przech_odp_zainteresowanie_esport[[#This Row],[Zainteresowanie e-sport]],zainteresowanie_esport!A:C,2)</f>
        <v>4</v>
      </c>
      <c r="C62">
        <v>50</v>
      </c>
      <c r="D62">
        <v>61</v>
      </c>
    </row>
    <row r="63" spans="1:4" x14ac:dyDescent="0.2">
      <c r="A63" s="10" t="s">
        <v>175</v>
      </c>
      <c r="B63" s="10">
        <f>VLOOKUP(przech_odp_zainteresowanie_esport[[#This Row],[Zainteresowanie e-sport]],zainteresowanie_esport!A:C,2)</f>
        <v>5</v>
      </c>
      <c r="C63">
        <v>51</v>
      </c>
      <c r="D63">
        <v>62</v>
      </c>
    </row>
    <row r="64" spans="1:4" x14ac:dyDescent="0.2">
      <c r="A64" s="10" t="s">
        <v>174</v>
      </c>
      <c r="B64" s="10">
        <f>VLOOKUP(przech_odp_zainteresowanie_esport[[#This Row],[Zainteresowanie e-sport]],zainteresowanie_esport!A:C,2)</f>
        <v>4</v>
      </c>
      <c r="C64">
        <v>51</v>
      </c>
      <c r="D64">
        <v>63</v>
      </c>
    </row>
    <row r="65" spans="1:4" x14ac:dyDescent="0.2">
      <c r="A65" s="10" t="s">
        <v>176</v>
      </c>
      <c r="B65" s="10">
        <f>VLOOKUP(przech_odp_zainteresowanie_esport[[#This Row],[Zainteresowanie e-sport]],zainteresowanie_esport!A:C,2)</f>
        <v>3</v>
      </c>
      <c r="C65">
        <v>52</v>
      </c>
      <c r="D65">
        <v>64</v>
      </c>
    </row>
    <row r="66" spans="1:4" x14ac:dyDescent="0.2">
      <c r="A66" s="10" t="s">
        <v>175</v>
      </c>
      <c r="B66" s="10">
        <f>VLOOKUP(przech_odp_zainteresowanie_esport[[#This Row],[Zainteresowanie e-sport]],zainteresowanie_esport!A:C,2)</f>
        <v>5</v>
      </c>
      <c r="C66">
        <v>53</v>
      </c>
      <c r="D66">
        <v>65</v>
      </c>
    </row>
    <row r="67" spans="1:4" x14ac:dyDescent="0.2">
      <c r="A67" s="10" t="s">
        <v>174</v>
      </c>
      <c r="B67" s="10">
        <f>VLOOKUP(przech_odp_zainteresowanie_esport[[#This Row],[Zainteresowanie e-sport]],zainteresowanie_esport!A:C,2)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VLOOKUP(przech_odp_zainteresowanie_esport[[#This Row],[Zainteresowanie e-sport]],zainteresowanie_esport!A:C,2)</f>
        <v>1</v>
      </c>
      <c r="C68">
        <v>54</v>
      </c>
      <c r="D68">
        <v>67</v>
      </c>
    </row>
    <row r="69" spans="1:4" x14ac:dyDescent="0.2">
      <c r="A69" s="10" t="s">
        <v>174</v>
      </c>
      <c r="B69" s="10">
        <f>VLOOKUP(przech_odp_zainteresowanie_esport[[#This Row],[Zainteresowanie e-sport]],zainteresowanie_esport!A:C,2)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VLOOKUP(przech_odp_zainteresowanie_esport[[#This Row],[Zainteresowanie e-sport]],zainteresowanie_esport!A:C,2)</f>
        <v>1</v>
      </c>
      <c r="C70">
        <v>56</v>
      </c>
      <c r="D70">
        <v>69</v>
      </c>
    </row>
    <row r="71" spans="1:4" x14ac:dyDescent="0.2">
      <c r="A71" s="10" t="s">
        <v>174</v>
      </c>
      <c r="B71" s="10">
        <f>VLOOKUP(przech_odp_zainteresowanie_esport[[#This Row],[Zainteresowanie e-sport]],zainteresowanie_esport!A:C,2)</f>
        <v>4</v>
      </c>
      <c r="C71">
        <v>57</v>
      </c>
      <c r="D71">
        <v>70</v>
      </c>
    </row>
    <row r="72" spans="1:4" x14ac:dyDescent="0.2">
      <c r="A72" s="10" t="s">
        <v>176</v>
      </c>
      <c r="B72" s="10">
        <f>VLOOKUP(przech_odp_zainteresowanie_esport[[#This Row],[Zainteresowanie e-sport]],zainteresowanie_esport!A:C,2)</f>
        <v>3</v>
      </c>
      <c r="C72">
        <v>58</v>
      </c>
      <c r="D72">
        <v>71</v>
      </c>
    </row>
    <row r="73" spans="1:4" x14ac:dyDescent="0.2">
      <c r="A73" s="10" t="s">
        <v>175</v>
      </c>
      <c r="B73" s="10">
        <f>VLOOKUP(przech_odp_zainteresowanie_esport[[#This Row],[Zainteresowanie e-sport]],zainteresowanie_esport!A:C,2)</f>
        <v>5</v>
      </c>
      <c r="C73">
        <v>59</v>
      </c>
      <c r="D73">
        <v>72</v>
      </c>
    </row>
    <row r="74" spans="1:4" x14ac:dyDescent="0.2">
      <c r="A74" s="10" t="s">
        <v>176</v>
      </c>
      <c r="B74" s="10">
        <f>VLOOKUP(przech_odp_zainteresowanie_esport[[#This Row],[Zainteresowanie e-sport]],zainteresowanie_esport!A:C,2)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VLOOKUP(przech_odp_zainteresowanie_esport[[#This Row],[Zainteresowanie e-sport]],zainteresowanie_esport!A:C,2)</f>
        <v>1</v>
      </c>
      <c r="C75">
        <v>61</v>
      </c>
      <c r="D75">
        <v>74</v>
      </c>
    </row>
    <row r="76" spans="1:4" x14ac:dyDescent="0.2">
      <c r="A76" s="10" t="s">
        <v>174</v>
      </c>
      <c r="B76" s="10">
        <f>VLOOKUP(przech_odp_zainteresowanie_esport[[#This Row],[Zainteresowanie e-sport]],zainteresowanie_esport!A:C,2)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VLOOKUP(przech_odp_zainteresowanie_esport[[#This Row],[Zainteresowanie e-sport]],zainteresowanie_esport!A:C,2)</f>
        <v>1</v>
      </c>
      <c r="C77">
        <v>63</v>
      </c>
      <c r="D77">
        <v>76</v>
      </c>
    </row>
    <row r="78" spans="1:4" x14ac:dyDescent="0.2">
      <c r="A78" s="10" t="s">
        <v>176</v>
      </c>
      <c r="B78" s="10">
        <f>VLOOKUP(przech_odp_zainteresowanie_esport[[#This Row],[Zainteresowanie e-sport]],zainteresowanie_esport!A:C,2)</f>
        <v>3</v>
      </c>
      <c r="C78">
        <v>64</v>
      </c>
      <c r="D78">
        <v>77</v>
      </c>
    </row>
    <row r="79" spans="1:4" x14ac:dyDescent="0.2">
      <c r="A79" s="10" t="s">
        <v>176</v>
      </c>
      <c r="B79" s="10">
        <f>VLOOKUP(przech_odp_zainteresowanie_esport[[#This Row],[Zainteresowanie e-sport]],zainteresowanie_esport!A:C,2)</f>
        <v>3</v>
      </c>
      <c r="C79">
        <v>65</v>
      </c>
      <c r="D79">
        <v>78</v>
      </c>
    </row>
    <row r="80" spans="1:4" x14ac:dyDescent="0.2">
      <c r="A80" s="10" t="s">
        <v>175</v>
      </c>
      <c r="B80" s="10">
        <f>VLOOKUP(przech_odp_zainteresowanie_esport[[#This Row],[Zainteresowanie e-sport]],zainteresowanie_esport!A:C,2)</f>
        <v>5</v>
      </c>
      <c r="C80">
        <v>66</v>
      </c>
      <c r="D80">
        <v>79</v>
      </c>
    </row>
    <row r="81" spans="1:4" x14ac:dyDescent="0.2">
      <c r="A81" s="10" t="s">
        <v>174</v>
      </c>
      <c r="B81" s="10">
        <f>VLOOKUP(przech_odp_zainteresowanie_esport[[#This Row],[Zainteresowanie e-sport]],zainteresowanie_esport!A:C,2)</f>
        <v>4</v>
      </c>
      <c r="C81">
        <v>66</v>
      </c>
      <c r="D81">
        <v>80</v>
      </c>
    </row>
    <row r="82" spans="1:4" x14ac:dyDescent="0.2">
      <c r="A82" s="10" t="s">
        <v>176</v>
      </c>
      <c r="B82" s="10">
        <f>VLOOKUP(przech_odp_zainteresowanie_esport[[#This Row],[Zainteresowanie e-sport]],zainteresowanie_esport!A:C,2)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VLOOKUP(przech_odp_zainteresowanie_esport[[#This Row],[Zainteresowanie e-sport]],zainteresowanie_esport!A:C,2)</f>
        <v>1</v>
      </c>
      <c r="C83">
        <v>68</v>
      </c>
      <c r="D83">
        <v>82</v>
      </c>
    </row>
    <row r="84" spans="1:4" x14ac:dyDescent="0.2">
      <c r="A84" s="10" t="s">
        <v>175</v>
      </c>
      <c r="B84" s="10">
        <f>VLOOKUP(przech_odp_zainteresowanie_esport[[#This Row],[Zainteresowanie e-sport]],zainteresowanie_esport!A:C,2)</f>
        <v>5</v>
      </c>
      <c r="C84">
        <v>69</v>
      </c>
      <c r="D84">
        <v>83</v>
      </c>
    </row>
    <row r="85" spans="1:4" x14ac:dyDescent="0.2">
      <c r="A85" s="10" t="s">
        <v>174</v>
      </c>
      <c r="B85" s="10">
        <f>VLOOKUP(przech_odp_zainteresowanie_esport[[#This Row],[Zainteresowanie e-sport]],zainteresowanie_esport!A:C,2)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VLOOKUP(przech_odp_zainteresowanie_esport[[#This Row],[Zainteresowanie e-sport]],zainteresowanie_esport!A:C,2)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VLOOKUP(przech_odp_zainteresowanie_esport[[#This Row],[Zainteresowanie e-sport]],zainteresowanie_esport!A:C,2)</f>
        <v>1</v>
      </c>
      <c r="C87">
        <v>71</v>
      </c>
      <c r="D87">
        <v>86</v>
      </c>
    </row>
    <row r="88" spans="1:4" x14ac:dyDescent="0.2">
      <c r="A88" s="10" t="s">
        <v>175</v>
      </c>
      <c r="B88" s="10">
        <f>VLOOKUP(przech_odp_zainteresowanie_esport[[#This Row],[Zainteresowanie e-sport]],zainteresowanie_esport!A:C,2)</f>
        <v>5</v>
      </c>
      <c r="C88">
        <v>72</v>
      </c>
      <c r="D88">
        <v>87</v>
      </c>
    </row>
    <row r="89" spans="1:4" x14ac:dyDescent="0.2">
      <c r="A89" s="10" t="s">
        <v>174</v>
      </c>
      <c r="B89" s="10">
        <f>VLOOKUP(przech_odp_zainteresowanie_esport[[#This Row],[Zainteresowanie e-sport]],zainteresowanie_esport!A:C,2)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VLOOKUP(przech_odp_zainteresowanie_esport[[#This Row],[Zainteresowanie e-sport]],zainteresowanie_esport!A:C,2)</f>
        <v>2</v>
      </c>
      <c r="C90">
        <v>73</v>
      </c>
      <c r="D90">
        <v>89</v>
      </c>
    </row>
    <row r="91" spans="1:4" x14ac:dyDescent="0.2">
      <c r="A91" s="10" t="s">
        <v>174</v>
      </c>
      <c r="B91" s="10">
        <f>VLOOKUP(przech_odp_zainteresowanie_esport[[#This Row],[Zainteresowanie e-sport]],zainteresowanie_esport!A:C,2)</f>
        <v>4</v>
      </c>
      <c r="C91">
        <v>74</v>
      </c>
      <c r="D91">
        <v>90</v>
      </c>
    </row>
    <row r="92" spans="1:4" x14ac:dyDescent="0.2">
      <c r="A92" s="10" t="s">
        <v>174</v>
      </c>
      <c r="B92" s="10">
        <f>VLOOKUP(przech_odp_zainteresowanie_esport[[#This Row],[Zainteresowanie e-sport]],zainteresowanie_esport!A:C,2)</f>
        <v>4</v>
      </c>
      <c r="C92">
        <v>75</v>
      </c>
      <c r="D92">
        <v>91</v>
      </c>
    </row>
    <row r="93" spans="1:4" x14ac:dyDescent="0.2">
      <c r="A93" s="10" t="s">
        <v>176</v>
      </c>
      <c r="B93" s="10">
        <f>VLOOKUP(przech_odp_zainteresowanie_esport[[#This Row],[Zainteresowanie e-sport]],zainteresowanie_esport!A:C,2)</f>
        <v>3</v>
      </c>
      <c r="C93">
        <v>76</v>
      </c>
      <c r="D93">
        <v>92</v>
      </c>
    </row>
    <row r="94" spans="1:4" x14ac:dyDescent="0.2">
      <c r="A94" s="10" t="s">
        <v>175</v>
      </c>
      <c r="B94" s="10">
        <f>VLOOKUP(przech_odp_zainteresowanie_esport[[#This Row],[Zainteresowanie e-sport]],zainteresowanie_esport!A:C,2)</f>
        <v>5</v>
      </c>
      <c r="C94">
        <v>77</v>
      </c>
      <c r="D94">
        <v>93</v>
      </c>
    </row>
    <row r="95" spans="1:4" x14ac:dyDescent="0.2">
      <c r="A95" s="10" t="s">
        <v>176</v>
      </c>
      <c r="B95" s="10">
        <f>VLOOKUP(przech_odp_zainteresowanie_esport[[#This Row],[Zainteresowanie e-sport]],zainteresowanie_esport!A:C,2)</f>
        <v>3</v>
      </c>
      <c r="C95">
        <v>78</v>
      </c>
      <c r="D95">
        <v>94</v>
      </c>
    </row>
    <row r="96" spans="1:4" x14ac:dyDescent="0.2">
      <c r="A96" s="10" t="s">
        <v>175</v>
      </c>
      <c r="B96" s="10">
        <f>VLOOKUP(przech_odp_zainteresowanie_esport[[#This Row],[Zainteresowanie e-sport]],zainteresowanie_esport!A:C,2)</f>
        <v>5</v>
      </c>
      <c r="C96">
        <v>79</v>
      </c>
      <c r="D96">
        <v>95</v>
      </c>
    </row>
    <row r="97" spans="1:4" x14ac:dyDescent="0.2">
      <c r="A97" s="10" t="s">
        <v>174</v>
      </c>
      <c r="B97" s="10">
        <f>VLOOKUP(przech_odp_zainteresowanie_esport[[#This Row],[Zainteresowanie e-sport]],zainteresowanie_esport!A:C,2)</f>
        <v>4</v>
      </c>
      <c r="C97">
        <v>79</v>
      </c>
      <c r="D97">
        <v>96</v>
      </c>
    </row>
    <row r="98" spans="1:4" x14ac:dyDescent="0.2">
      <c r="A98" s="10" t="s">
        <v>174</v>
      </c>
      <c r="B98" s="10">
        <f>VLOOKUP(przech_odp_zainteresowanie_esport[[#This Row],[Zainteresowanie e-sport]],zainteresowanie_esport!A:C,2)</f>
        <v>4</v>
      </c>
      <c r="C98">
        <v>80</v>
      </c>
      <c r="D98">
        <v>97</v>
      </c>
    </row>
    <row r="99" spans="1:4" x14ac:dyDescent="0.2">
      <c r="A99" s="10" t="s">
        <v>176</v>
      </c>
      <c r="B99" s="10">
        <f>VLOOKUP(przech_odp_zainteresowanie_esport[[#This Row],[Zainteresowanie e-sport]],zainteresowanie_esport!A:C,2)</f>
        <v>3</v>
      </c>
      <c r="C99">
        <v>81</v>
      </c>
      <c r="D99">
        <v>98</v>
      </c>
    </row>
    <row r="100" spans="1:4" x14ac:dyDescent="0.2">
      <c r="A100" s="10" t="s">
        <v>176</v>
      </c>
      <c r="B100" s="10">
        <f>VLOOKUP(przech_odp_zainteresowanie_esport[[#This Row],[Zainteresowanie e-sport]],zainteresowanie_esport!A:C,2)</f>
        <v>3</v>
      </c>
      <c r="C100">
        <v>82</v>
      </c>
      <c r="D100">
        <v>99</v>
      </c>
    </row>
    <row r="101" spans="1:4" x14ac:dyDescent="0.2">
      <c r="A101" s="10" t="s">
        <v>176</v>
      </c>
      <c r="B101" s="10">
        <f>VLOOKUP(przech_odp_zainteresowanie_esport[[#This Row],[Zainteresowanie e-sport]],zainteresowanie_esport!A:C,2)</f>
        <v>3</v>
      </c>
      <c r="C101">
        <v>83</v>
      </c>
      <c r="D101">
        <v>100</v>
      </c>
    </row>
    <row r="102" spans="1:4" x14ac:dyDescent="0.2">
      <c r="A102" s="10" t="s">
        <v>175</v>
      </c>
      <c r="B102" s="10">
        <f>VLOOKUP(przech_odp_zainteresowanie_esport[[#This Row],[Zainteresowanie e-sport]],zainteresowanie_esport!A:C,2)</f>
        <v>5</v>
      </c>
      <c r="C102">
        <v>84</v>
      </c>
      <c r="D102">
        <v>101</v>
      </c>
    </row>
    <row r="103" spans="1:4" x14ac:dyDescent="0.2">
      <c r="A103" s="10" t="s">
        <v>174</v>
      </c>
      <c r="B103" s="10">
        <f>VLOOKUP(przech_odp_zainteresowanie_esport[[#This Row],[Zainteresowanie e-sport]],zainteresowanie_esport!A:C,2)</f>
        <v>4</v>
      </c>
      <c r="C103">
        <v>84</v>
      </c>
      <c r="D103">
        <v>102</v>
      </c>
    </row>
    <row r="104" spans="1:4" x14ac:dyDescent="0.2">
      <c r="A104" s="10" t="s">
        <v>176</v>
      </c>
      <c r="B104" s="10">
        <f>VLOOKUP(przech_odp_zainteresowanie_esport[[#This Row],[Zainteresowanie e-sport]],zainteresowanie_esport!A:C,2)</f>
        <v>3</v>
      </c>
      <c r="C104">
        <v>85</v>
      </c>
      <c r="D104">
        <v>103</v>
      </c>
    </row>
    <row r="105" spans="1:4" x14ac:dyDescent="0.2">
      <c r="A105" s="10" t="s">
        <v>175</v>
      </c>
      <c r="B105" s="10">
        <f>VLOOKUP(przech_odp_zainteresowanie_esport[[#This Row],[Zainteresowanie e-sport]],zainteresowanie_esport!A:C,2)</f>
        <v>5</v>
      </c>
      <c r="C105">
        <v>86</v>
      </c>
      <c r="D105">
        <v>104</v>
      </c>
    </row>
    <row r="106" spans="1:4" x14ac:dyDescent="0.2">
      <c r="A106" s="10" t="s">
        <v>176</v>
      </c>
      <c r="B106" s="10">
        <f>VLOOKUP(przech_odp_zainteresowanie_esport[[#This Row],[Zainteresowanie e-sport]],zainteresowanie_esport!A:C,2)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VLOOKUP(przech_odp_zainteresowanie_esport[[#This Row],[Zainteresowanie e-sport]],zainteresowanie_esport!A:C,2)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VLOOKUP(przech_odp_zainteresowanie_esport[[#This Row],[Zainteresowanie e-sport]],zainteresowanie_esport!A:C,2)</f>
        <v>1</v>
      </c>
      <c r="C108">
        <v>89</v>
      </c>
      <c r="D108">
        <v>107</v>
      </c>
    </row>
    <row r="109" spans="1:4" x14ac:dyDescent="0.2">
      <c r="A109" s="10" t="s">
        <v>175</v>
      </c>
      <c r="B109" s="10">
        <f>VLOOKUP(przech_odp_zainteresowanie_esport[[#This Row],[Zainteresowanie e-sport]],zainteresowanie_esport!A:C,2)</f>
        <v>5</v>
      </c>
      <c r="C109">
        <v>90</v>
      </c>
      <c r="D109">
        <v>108</v>
      </c>
    </row>
    <row r="110" spans="1:4" x14ac:dyDescent="0.2">
      <c r="A110" s="10" t="s">
        <v>174</v>
      </c>
      <c r="B110" s="10">
        <f>VLOOKUP(przech_odp_zainteresowanie_esport[[#This Row],[Zainteresowanie e-sport]],zainteresowanie_esport!A:C,2)</f>
        <v>4</v>
      </c>
      <c r="C110">
        <v>90</v>
      </c>
      <c r="D110">
        <v>109</v>
      </c>
    </row>
    <row r="111" spans="1:4" x14ac:dyDescent="0.2">
      <c r="A111" s="10" t="s">
        <v>176</v>
      </c>
      <c r="B111" s="10">
        <f>VLOOKUP(przech_odp_zainteresowanie_esport[[#This Row],[Zainteresowanie e-sport]],zainteresowanie_esport!A:C,2)</f>
        <v>3</v>
      </c>
      <c r="C111">
        <v>91</v>
      </c>
      <c r="D111">
        <v>110</v>
      </c>
    </row>
    <row r="112" spans="1:4" x14ac:dyDescent="0.2">
      <c r="A112" s="10" t="s">
        <v>176</v>
      </c>
      <c r="B112" s="10">
        <f>VLOOKUP(przech_odp_zainteresowanie_esport[[#This Row],[Zainteresowanie e-sport]],zainteresowanie_esport!A:C,2)</f>
        <v>3</v>
      </c>
      <c r="C112">
        <v>92</v>
      </c>
      <c r="D112">
        <v>111</v>
      </c>
    </row>
    <row r="113" spans="1:4" x14ac:dyDescent="0.2">
      <c r="A113" s="10" t="s">
        <v>175</v>
      </c>
      <c r="B113" s="10">
        <f>VLOOKUP(przech_odp_zainteresowanie_esport[[#This Row],[Zainteresowanie e-sport]],zainteresowanie_esport!A:C,2)</f>
        <v>5</v>
      </c>
      <c r="C113">
        <v>93</v>
      </c>
      <c r="D113">
        <v>112</v>
      </c>
    </row>
    <row r="114" spans="1:4" x14ac:dyDescent="0.2">
      <c r="A114" s="10" t="s">
        <v>174</v>
      </c>
      <c r="B114" s="10">
        <f>VLOOKUP(przech_odp_zainteresowanie_esport[[#This Row],[Zainteresowanie e-sport]],zainteresowanie_esport!A:C,2)</f>
        <v>4</v>
      </c>
      <c r="C114">
        <v>94</v>
      </c>
      <c r="D114">
        <v>113</v>
      </c>
    </row>
    <row r="115" spans="1:4" x14ac:dyDescent="0.2">
      <c r="A115" s="10" t="s">
        <v>175</v>
      </c>
      <c r="B115" s="10">
        <f>VLOOKUP(przech_odp_zainteresowanie_esport[[#This Row],[Zainteresowanie e-sport]],zainteresowanie_esport!A:C,2)</f>
        <v>5</v>
      </c>
      <c r="C115">
        <v>95</v>
      </c>
      <c r="D115">
        <v>114</v>
      </c>
    </row>
    <row r="116" spans="1:4" x14ac:dyDescent="0.2">
      <c r="A116" s="10" t="s">
        <v>174</v>
      </c>
      <c r="B116" s="10">
        <f>VLOOKUP(przech_odp_zainteresowanie_esport[[#This Row],[Zainteresowanie e-sport]],zainteresowanie_esport!A:C,2)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VLOOKUP(przech_odp_zainteresowanie_esport[[#This Row],[Zainteresowanie e-sport]],zainteresowanie_esport!A:C,2)</f>
        <v>2</v>
      </c>
      <c r="C117">
        <v>96</v>
      </c>
      <c r="D117">
        <v>116</v>
      </c>
    </row>
    <row r="118" spans="1:4" x14ac:dyDescent="0.2">
      <c r="A118" s="10" t="s">
        <v>176</v>
      </c>
      <c r="B118" s="10">
        <f>VLOOKUP(przech_odp_zainteresowanie_esport[[#This Row],[Zainteresowanie e-sport]],zainteresowanie_esport!A:C,2)</f>
        <v>3</v>
      </c>
      <c r="C118">
        <v>97</v>
      </c>
      <c r="D118">
        <v>117</v>
      </c>
    </row>
    <row r="119" spans="1:4" x14ac:dyDescent="0.2">
      <c r="A119" s="10" t="s">
        <v>175</v>
      </c>
      <c r="B119" s="10">
        <f>VLOOKUP(przech_odp_zainteresowanie_esport[[#This Row],[Zainteresowanie e-sport]],zainteresowanie_esport!A:C,2)</f>
        <v>5</v>
      </c>
      <c r="C119">
        <v>98</v>
      </c>
      <c r="D119">
        <v>118</v>
      </c>
    </row>
    <row r="120" spans="1:4" x14ac:dyDescent="0.2">
      <c r="A120" s="10" t="s">
        <v>174</v>
      </c>
      <c r="B120" s="10">
        <f>VLOOKUP(przech_odp_zainteresowanie_esport[[#This Row],[Zainteresowanie e-sport]],zainteresowanie_esport!A:C,2)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VLOOKUP(przech_odp_zainteresowanie_esport[[#This Row],[Zainteresowanie e-sport]],zainteresowanie_esport!A:C,2)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VLOOKUP(przech_odp_zainteresowanie_esport[[#This Row],[Zainteresowanie e-sport]],zainteresowanie_esport!A:C,2)</f>
        <v>1</v>
      </c>
      <c r="C122">
        <v>100</v>
      </c>
      <c r="D122">
        <v>121</v>
      </c>
    </row>
    <row r="123" spans="1:4" x14ac:dyDescent="0.2">
      <c r="A123" s="10" t="s">
        <v>176</v>
      </c>
      <c r="B123" s="10">
        <f>VLOOKUP(przech_odp_zainteresowanie_esport[[#This Row],[Zainteresowanie e-sport]],zainteresowanie_esport!A:C,2)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VLOOKUP(przech_odp_zainteresowanie_esport[[#This Row],[Zainteresowanie e-sport]],zainteresowanie_esport!A:C,2)</f>
        <v>1</v>
      </c>
      <c r="C124">
        <v>102</v>
      </c>
      <c r="D124">
        <v>123</v>
      </c>
    </row>
    <row r="125" spans="1:4" x14ac:dyDescent="0.2">
      <c r="A125" s="10" t="s">
        <v>176</v>
      </c>
      <c r="B125" s="10">
        <f>VLOOKUP(przech_odp_zainteresowanie_esport[[#This Row],[Zainteresowanie e-sport]],zainteresowanie_esport!A:C,2)</f>
        <v>3</v>
      </c>
      <c r="C125">
        <v>103</v>
      </c>
      <c r="D125">
        <v>124</v>
      </c>
    </row>
    <row r="126" spans="1:4" x14ac:dyDescent="0.2">
      <c r="A126" s="10" t="s">
        <v>174</v>
      </c>
      <c r="B126" s="10">
        <f>VLOOKUP(przech_odp_zainteresowanie_esport[[#This Row],[Zainteresowanie e-sport]],zainteresowanie_esport!A:C,2)</f>
        <v>4</v>
      </c>
      <c r="C126">
        <v>104</v>
      </c>
      <c r="D126">
        <v>125</v>
      </c>
    </row>
    <row r="127" spans="1:4" x14ac:dyDescent="0.2">
      <c r="A127" s="10" t="s">
        <v>176</v>
      </c>
      <c r="B127" s="10">
        <f>VLOOKUP(przech_odp_zainteresowanie_esport[[#This Row],[Zainteresowanie e-sport]],zainteresowanie_esport!A:C,2)</f>
        <v>3</v>
      </c>
      <c r="C127">
        <v>105</v>
      </c>
      <c r="D127">
        <v>126</v>
      </c>
    </row>
    <row r="128" spans="1:4" x14ac:dyDescent="0.2">
      <c r="A128" s="10" t="s">
        <v>176</v>
      </c>
      <c r="B128" s="10">
        <f>VLOOKUP(przech_odp_zainteresowanie_esport[[#This Row],[Zainteresowanie e-sport]],zainteresowanie_esport!A:C,2)</f>
        <v>3</v>
      </c>
      <c r="C128">
        <v>106</v>
      </c>
      <c r="D128">
        <v>127</v>
      </c>
    </row>
    <row r="129" spans="1:4" x14ac:dyDescent="0.2">
      <c r="A129" s="10" t="s">
        <v>174</v>
      </c>
      <c r="B129" s="10">
        <f>VLOOKUP(przech_odp_zainteresowanie_esport[[#This Row],[Zainteresowanie e-sport]],zainteresowanie_esport!A:C,2)</f>
        <v>4</v>
      </c>
      <c r="C129">
        <v>107</v>
      </c>
      <c r="D129">
        <v>128</v>
      </c>
    </row>
    <row r="130" spans="1:4" x14ac:dyDescent="0.2">
      <c r="A130" s="10" t="s">
        <v>174</v>
      </c>
      <c r="B130" s="10">
        <f>VLOOKUP(przech_odp_zainteresowanie_esport[[#This Row],[Zainteresowanie e-sport]],zainteresowanie_esport!A:C,2)</f>
        <v>4</v>
      </c>
      <c r="C130">
        <v>108</v>
      </c>
      <c r="D130">
        <v>129</v>
      </c>
    </row>
    <row r="131" spans="1:4" x14ac:dyDescent="0.2">
      <c r="A131" s="10" t="s">
        <v>176</v>
      </c>
      <c r="B131" s="10">
        <f>VLOOKUP(przech_odp_zainteresowanie_esport[[#This Row],[Zainteresowanie e-sport]],zainteresowanie_esport!A:C,2)</f>
        <v>3</v>
      </c>
      <c r="C131">
        <v>109</v>
      </c>
      <c r="D131">
        <v>130</v>
      </c>
    </row>
    <row r="132" spans="1:4" x14ac:dyDescent="0.2">
      <c r="A132" s="10" t="s">
        <v>175</v>
      </c>
      <c r="B132" s="10">
        <f>VLOOKUP(przech_odp_zainteresowanie_esport[[#This Row],[Zainteresowanie e-sport]],zainteresowanie_esport!A:C,2)</f>
        <v>5</v>
      </c>
      <c r="C132">
        <v>110</v>
      </c>
      <c r="D132">
        <v>131</v>
      </c>
    </row>
    <row r="133" spans="1:4" x14ac:dyDescent="0.2">
      <c r="A133" s="10" t="s">
        <v>176</v>
      </c>
      <c r="B133" s="10">
        <f>VLOOKUP(przech_odp_zainteresowanie_esport[[#This Row],[Zainteresowanie e-sport]],zainteresowanie_esport!A:C,2)</f>
        <v>3</v>
      </c>
      <c r="C133">
        <v>111</v>
      </c>
      <c r="D133">
        <v>132</v>
      </c>
    </row>
    <row r="134" spans="1:4" x14ac:dyDescent="0.2">
      <c r="A134" s="10" t="s">
        <v>174</v>
      </c>
      <c r="B134" s="10">
        <f>VLOOKUP(przech_odp_zainteresowanie_esport[[#This Row],[Zainteresowanie e-sport]],zainteresowanie_esport!A:C,2)</f>
        <v>4</v>
      </c>
      <c r="C134">
        <v>112</v>
      </c>
      <c r="D134">
        <v>133</v>
      </c>
    </row>
    <row r="135" spans="1:4" x14ac:dyDescent="0.2">
      <c r="A135" s="10" t="s">
        <v>176</v>
      </c>
      <c r="B135" s="10">
        <f>VLOOKUP(przech_odp_zainteresowanie_esport[[#This Row],[Zainteresowanie e-sport]],zainteresowanie_esport!A:C,2)</f>
        <v>3</v>
      </c>
      <c r="C135">
        <v>113</v>
      </c>
      <c r="D135">
        <v>134</v>
      </c>
    </row>
    <row r="136" spans="1:4" x14ac:dyDescent="0.2">
      <c r="A136" s="10" t="s">
        <v>176</v>
      </c>
      <c r="B136" s="10">
        <f>VLOOKUP(przech_odp_zainteresowanie_esport[[#This Row],[Zainteresowanie e-sport]],zainteresowanie_esport!A:C,2)</f>
        <v>3</v>
      </c>
      <c r="C136">
        <v>114</v>
      </c>
      <c r="D136">
        <v>135</v>
      </c>
    </row>
    <row r="137" spans="1:4" x14ac:dyDescent="0.2">
      <c r="A137" s="10" t="s">
        <v>175</v>
      </c>
      <c r="B137" s="10">
        <f>VLOOKUP(przech_odp_zainteresowanie_esport[[#This Row],[Zainteresowanie e-sport]],zainteresowanie_esport!A:C,2)</f>
        <v>5</v>
      </c>
      <c r="C137">
        <v>115</v>
      </c>
      <c r="D137">
        <v>136</v>
      </c>
    </row>
    <row r="138" spans="1:4" x14ac:dyDescent="0.2">
      <c r="A138" s="10" t="s">
        <v>174</v>
      </c>
      <c r="B138" s="10">
        <f>VLOOKUP(przech_odp_zainteresowanie_esport[[#This Row],[Zainteresowanie e-sport]],zainteresowanie_esport!A:C,2)</f>
        <v>4</v>
      </c>
      <c r="C138">
        <v>115</v>
      </c>
      <c r="D138">
        <v>137</v>
      </c>
    </row>
    <row r="139" spans="1:4" x14ac:dyDescent="0.2">
      <c r="A139" s="10" t="s">
        <v>174</v>
      </c>
      <c r="B139" s="10">
        <f>VLOOKUP(przech_odp_zainteresowanie_esport[[#This Row],[Zainteresowanie e-sport]],zainteresowanie_esport!A:C,2)</f>
        <v>4</v>
      </c>
      <c r="C139">
        <v>116</v>
      </c>
      <c r="D139">
        <v>138</v>
      </c>
    </row>
    <row r="140" spans="1:4" x14ac:dyDescent="0.2">
      <c r="A140" s="10" t="s">
        <v>176</v>
      </c>
      <c r="B140" s="10">
        <f>VLOOKUP(przech_odp_zainteresowanie_esport[[#This Row],[Zainteresowanie e-sport]],zainteresowanie_esport!A:C,2)</f>
        <v>3</v>
      </c>
      <c r="C140">
        <v>117</v>
      </c>
      <c r="D140">
        <v>139</v>
      </c>
    </row>
    <row r="141" spans="1:4" x14ac:dyDescent="0.2">
      <c r="A141" s="10" t="s">
        <v>176</v>
      </c>
      <c r="B141" s="10">
        <f>VLOOKUP(przech_odp_zainteresowanie_esport[[#This Row],[Zainteresowanie e-sport]],zainteresowanie_esport!A:C,2)</f>
        <v>3</v>
      </c>
      <c r="C141">
        <v>118</v>
      </c>
      <c r="D141">
        <v>140</v>
      </c>
    </row>
    <row r="142" spans="1:4" x14ac:dyDescent="0.2">
      <c r="A142" s="10" t="s">
        <v>174</v>
      </c>
      <c r="B142" s="10">
        <f>VLOOKUP(przech_odp_zainteresowanie_esport[[#This Row],[Zainteresowanie e-sport]],zainteresowanie_esport!A:C,2)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VLOOKUP(przech_odp_zainteresowanie_esport[[#This Row],[Zainteresowanie e-sport]],zainteresowanie_esport!A:C,2)</f>
        <v>2</v>
      </c>
      <c r="C143">
        <v>120</v>
      </c>
      <c r="D143">
        <v>142</v>
      </c>
    </row>
    <row r="144" spans="1:4" x14ac:dyDescent="0.2">
      <c r="A144" s="10" t="s">
        <v>176</v>
      </c>
      <c r="B144" s="10">
        <f>VLOOKUP(przech_odp_zainteresowanie_esport[[#This Row],[Zainteresowanie e-sport]],zainteresowanie_esport!A:C,2)</f>
        <v>3</v>
      </c>
      <c r="C144">
        <v>121</v>
      </c>
      <c r="D144">
        <v>143</v>
      </c>
    </row>
    <row r="145" spans="1:4" x14ac:dyDescent="0.2">
      <c r="A145" s="10" t="s">
        <v>175</v>
      </c>
      <c r="B145" s="10">
        <f>VLOOKUP(przech_odp_zainteresowanie_esport[[#This Row],[Zainteresowanie e-sport]],zainteresowanie_esport!A:C,2)</f>
        <v>5</v>
      </c>
      <c r="C145">
        <v>122</v>
      </c>
      <c r="D145">
        <v>144</v>
      </c>
    </row>
    <row r="146" spans="1:4" x14ac:dyDescent="0.2">
      <c r="A146" s="10" t="s">
        <v>174</v>
      </c>
      <c r="B146" s="10">
        <f>VLOOKUP(przech_odp_zainteresowanie_esport[[#This Row],[Zainteresowanie e-sport]],zainteresowanie_esport!A:C,2)</f>
        <v>4</v>
      </c>
      <c r="C146">
        <v>122</v>
      </c>
      <c r="D146">
        <v>145</v>
      </c>
    </row>
    <row r="147" spans="1:4" x14ac:dyDescent="0.2">
      <c r="A147" s="10" t="s">
        <v>174</v>
      </c>
      <c r="B147" s="10">
        <f>VLOOKUP(przech_odp_zainteresowanie_esport[[#This Row],[Zainteresowanie e-sport]],zainteresowanie_esport!A:C,2)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VLOOKUP(przech_odp_zainteresowanie_esport[[#This Row],[Zainteresowanie e-sport]],zainteresowanie_esport!A:C,2)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VLOOKUP(przech_odp_zainteresowanie_esport[[#This Row],[Zainteresowanie e-sport]],zainteresowanie_esport!A:C,2)</f>
        <v>1</v>
      </c>
      <c r="C149">
        <v>125</v>
      </c>
      <c r="D149">
        <v>148</v>
      </c>
    </row>
    <row r="150" spans="1:4" x14ac:dyDescent="0.2">
      <c r="A150" s="10" t="s">
        <v>174</v>
      </c>
      <c r="B150" s="10">
        <f>VLOOKUP(przech_odp_zainteresowanie_esport[[#This Row],[Zainteresowanie e-sport]],zainteresowanie_esport!A:C,2)</f>
        <v>4</v>
      </c>
      <c r="C150">
        <v>126</v>
      </c>
      <c r="D150">
        <v>149</v>
      </c>
    </row>
    <row r="151" spans="1:4" x14ac:dyDescent="0.2">
      <c r="A151" s="10" t="s">
        <v>175</v>
      </c>
      <c r="B151" s="10">
        <f>VLOOKUP(przech_odp_zainteresowanie_esport[[#This Row],[Zainteresowanie e-sport]],zainteresowanie_esport!A:C,2)</f>
        <v>5</v>
      </c>
      <c r="C151">
        <v>127</v>
      </c>
      <c r="D151">
        <v>150</v>
      </c>
    </row>
    <row r="152" spans="1:4" x14ac:dyDescent="0.2">
      <c r="A152" s="10" t="s">
        <v>174</v>
      </c>
      <c r="B152" s="10">
        <f>VLOOKUP(przech_odp_zainteresowanie_esport[[#This Row],[Zainteresowanie e-sport]],zainteresowanie_esport!A:C,2)</f>
        <v>4</v>
      </c>
      <c r="C152">
        <v>127</v>
      </c>
      <c r="D152">
        <v>151</v>
      </c>
    </row>
    <row r="153" spans="1:4" x14ac:dyDescent="0.2">
      <c r="A153" s="10" t="s">
        <v>175</v>
      </c>
      <c r="B153" s="10">
        <f>VLOOKUP(przech_odp_zainteresowanie_esport[[#This Row],[Zainteresowanie e-sport]],zainteresowanie_esport!A:C,2)</f>
        <v>5</v>
      </c>
      <c r="C153">
        <v>128</v>
      </c>
      <c r="D153">
        <v>152</v>
      </c>
    </row>
    <row r="154" spans="1:4" x14ac:dyDescent="0.2">
      <c r="A154" s="10" t="s">
        <v>174</v>
      </c>
      <c r="B154" s="10">
        <f>VLOOKUP(przech_odp_zainteresowanie_esport[[#This Row],[Zainteresowanie e-sport]],zainteresowanie_esport!A:C,2)</f>
        <v>4</v>
      </c>
      <c r="C154">
        <v>128</v>
      </c>
      <c r="D154">
        <v>153</v>
      </c>
    </row>
    <row r="155" spans="1:4" x14ac:dyDescent="0.2">
      <c r="A155" s="10" t="s">
        <v>176</v>
      </c>
      <c r="B155" s="10">
        <f>VLOOKUP(przech_odp_zainteresowanie_esport[[#This Row],[Zainteresowanie e-sport]],zainteresowanie_esport!A:C,2)</f>
        <v>3</v>
      </c>
      <c r="C155">
        <v>129</v>
      </c>
      <c r="D155">
        <v>154</v>
      </c>
    </row>
    <row r="156" spans="1:4" x14ac:dyDescent="0.2">
      <c r="A156" s="10" t="s">
        <v>174</v>
      </c>
      <c r="B156" s="10">
        <f>VLOOKUP(przech_odp_zainteresowanie_esport[[#This Row],[Zainteresowanie e-sport]],zainteresowanie_esport!A:C,2)</f>
        <v>4</v>
      </c>
      <c r="C156">
        <v>130</v>
      </c>
      <c r="D156">
        <v>155</v>
      </c>
    </row>
    <row r="157" spans="1:4" x14ac:dyDescent="0.2">
      <c r="A157" s="10" t="s">
        <v>174</v>
      </c>
      <c r="B157" s="10">
        <f>VLOOKUP(przech_odp_zainteresowanie_esport[[#This Row],[Zainteresowanie e-sport]],zainteresowanie_esport!A:C,2)</f>
        <v>4</v>
      </c>
      <c r="C157">
        <v>131</v>
      </c>
      <c r="D157">
        <v>156</v>
      </c>
    </row>
    <row r="158" spans="1:4" x14ac:dyDescent="0.2">
      <c r="A158" s="10" t="s">
        <v>176</v>
      </c>
      <c r="B158" s="10">
        <f>VLOOKUP(przech_odp_zainteresowanie_esport[[#This Row],[Zainteresowanie e-sport]],zainteresowanie_esport!A:C,2)</f>
        <v>3</v>
      </c>
      <c r="C158">
        <v>131</v>
      </c>
      <c r="D158">
        <v>157</v>
      </c>
    </row>
    <row r="159" spans="1:4" x14ac:dyDescent="0.2">
      <c r="A159" s="10" t="s">
        <v>176</v>
      </c>
      <c r="B159" s="10">
        <f>VLOOKUP(przech_odp_zainteresowanie_esport[[#This Row],[Zainteresowanie e-sport]],zainteresowanie_esport!A:C,2)</f>
        <v>3</v>
      </c>
      <c r="C159">
        <v>132</v>
      </c>
      <c r="D159">
        <v>158</v>
      </c>
    </row>
    <row r="160" spans="1:4" x14ac:dyDescent="0.2">
      <c r="A160" s="10" t="s">
        <v>174</v>
      </c>
      <c r="B160" s="10">
        <f>VLOOKUP(przech_odp_zainteresowanie_esport[[#This Row],[Zainteresowanie e-sport]],zainteresowanie_esport!A:C,2)</f>
        <v>4</v>
      </c>
      <c r="C160">
        <v>133</v>
      </c>
      <c r="D160">
        <v>159</v>
      </c>
    </row>
    <row r="161" spans="1:4" x14ac:dyDescent="0.2">
      <c r="A161" s="10" t="s">
        <v>176</v>
      </c>
      <c r="B161" s="10">
        <f>VLOOKUP(przech_odp_zainteresowanie_esport[[#This Row],[Zainteresowanie e-sport]],zainteresowanie_esport!A:C,2)</f>
        <v>3</v>
      </c>
      <c r="C161">
        <v>134</v>
      </c>
      <c r="D161">
        <v>160</v>
      </c>
    </row>
    <row r="162" spans="1:4" x14ac:dyDescent="0.2">
      <c r="A162" s="10" t="s">
        <v>174</v>
      </c>
      <c r="B162" s="10">
        <f>VLOOKUP(przech_odp_zainteresowanie_esport[[#This Row],[Zainteresowanie e-sport]],zainteresowanie_esport!A:C,2)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VLOOKUP(przech_odp_zainteresowanie_esport[[#This Row],[Zainteresowanie e-sport]],zainteresowanie_esport!A:C,2)</f>
        <v>1</v>
      </c>
      <c r="C163">
        <v>136</v>
      </c>
      <c r="D163">
        <v>162</v>
      </c>
    </row>
    <row r="164" spans="1:4" x14ac:dyDescent="0.2">
      <c r="A164" s="10" t="s">
        <v>174</v>
      </c>
      <c r="B164" s="10">
        <f>VLOOKUP(przech_odp_zainteresowanie_esport[[#This Row],[Zainteresowanie e-sport]],zainteresowanie_esport!A:C,2)</f>
        <v>4</v>
      </c>
      <c r="C164">
        <v>137</v>
      </c>
      <c r="D164">
        <v>163</v>
      </c>
    </row>
    <row r="165" spans="1:4" x14ac:dyDescent="0.2">
      <c r="A165" s="10" t="s">
        <v>175</v>
      </c>
      <c r="B165" s="10">
        <f>VLOOKUP(przech_odp_zainteresowanie_esport[[#This Row],[Zainteresowanie e-sport]],zainteresowanie_esport!A:C,2)</f>
        <v>5</v>
      </c>
      <c r="C165">
        <v>138</v>
      </c>
      <c r="D165">
        <v>164</v>
      </c>
    </row>
    <row r="166" spans="1:4" x14ac:dyDescent="0.2">
      <c r="A166" s="10" t="s">
        <v>174</v>
      </c>
      <c r="B166" s="10">
        <f>VLOOKUP(przech_odp_zainteresowanie_esport[[#This Row],[Zainteresowanie e-sport]],zainteresowanie_esport!A:C,2)</f>
        <v>4</v>
      </c>
      <c r="C166">
        <v>138</v>
      </c>
      <c r="D166">
        <v>165</v>
      </c>
    </row>
    <row r="167" spans="1:4" x14ac:dyDescent="0.2">
      <c r="A167" s="10" t="s">
        <v>176</v>
      </c>
      <c r="B167" s="10">
        <f>VLOOKUP(przech_odp_zainteresowanie_esport[[#This Row],[Zainteresowanie e-sport]],zainteresowanie_esport!A:C,2)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VLOOKUP(przech_odp_zainteresowanie_esport[[#This Row],[Zainteresowanie e-sport]],zainteresowanie_esport!A:C,2)</f>
        <v>1</v>
      </c>
      <c r="C168">
        <v>140</v>
      </c>
      <c r="D168">
        <v>167</v>
      </c>
    </row>
    <row r="169" spans="1:4" x14ac:dyDescent="0.2">
      <c r="A169" s="10" t="s">
        <v>176</v>
      </c>
      <c r="B169" s="10">
        <f>VLOOKUP(przech_odp_zainteresowanie_esport[[#This Row],[Zainteresowanie e-sport]],zainteresowanie_esport!A:C,2)</f>
        <v>3</v>
      </c>
      <c r="C169">
        <v>141</v>
      </c>
      <c r="D169">
        <v>168</v>
      </c>
    </row>
    <row r="170" spans="1:4" x14ac:dyDescent="0.2">
      <c r="A170" s="10" t="s">
        <v>175</v>
      </c>
      <c r="B170" s="10">
        <f>VLOOKUP(przech_odp_zainteresowanie_esport[[#This Row],[Zainteresowanie e-sport]],zainteresowanie_esport!A:C,2)</f>
        <v>5</v>
      </c>
      <c r="C170">
        <v>142</v>
      </c>
      <c r="D170">
        <v>169</v>
      </c>
    </row>
    <row r="171" spans="1:4" x14ac:dyDescent="0.2">
      <c r="A171" s="10" t="s">
        <v>174</v>
      </c>
      <c r="B171" s="10">
        <f>VLOOKUP(przech_odp_zainteresowanie_esport[[#This Row],[Zainteresowanie e-sport]],zainteresowanie_esport!A:C,2)</f>
        <v>4</v>
      </c>
      <c r="C171">
        <v>142</v>
      </c>
      <c r="D171">
        <v>170</v>
      </c>
    </row>
    <row r="172" spans="1:4" x14ac:dyDescent="0.2">
      <c r="A172" s="10" t="s">
        <v>174</v>
      </c>
      <c r="B172" s="10">
        <f>VLOOKUP(przech_odp_zainteresowanie_esport[[#This Row],[Zainteresowanie e-sport]],zainteresowanie_esport!A:C,2)</f>
        <v>4</v>
      </c>
      <c r="C172">
        <v>143</v>
      </c>
      <c r="D172">
        <v>171</v>
      </c>
    </row>
    <row r="173" spans="1:4" x14ac:dyDescent="0.2">
      <c r="A173" s="10" t="s">
        <v>176</v>
      </c>
      <c r="B173" s="10">
        <f>VLOOKUP(przech_odp_zainteresowanie_esport[[#This Row],[Zainteresowanie e-sport]],zainteresowanie_esport!A:C,2)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VLOOKUP(przech_odp_zainteresowanie_esport[[#This Row],[Zainteresowanie e-sport]],zainteresowanie_esport!A:C,2)</f>
        <v>2</v>
      </c>
      <c r="C174">
        <v>145</v>
      </c>
      <c r="D174">
        <v>173</v>
      </c>
    </row>
    <row r="175" spans="1:4" x14ac:dyDescent="0.2">
      <c r="A175" s="10" t="s">
        <v>175</v>
      </c>
      <c r="B175" s="10">
        <f>VLOOKUP(przech_odp_zainteresowanie_esport[[#This Row],[Zainteresowanie e-sport]],zainteresowanie_esport!A:C,2)</f>
        <v>5</v>
      </c>
      <c r="C175">
        <v>146</v>
      </c>
      <c r="D175">
        <v>174</v>
      </c>
    </row>
    <row r="176" spans="1:4" x14ac:dyDescent="0.2">
      <c r="A176" s="10" t="s">
        <v>174</v>
      </c>
      <c r="B176" s="10">
        <f>VLOOKUP(przech_odp_zainteresowanie_esport[[#This Row],[Zainteresowanie e-sport]],zainteresowanie_esport!A:C,2)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VLOOKUP(przech_odp_zainteresowanie_esport[[#This Row],[Zainteresowanie e-sport]],zainteresowanie_esport!A:C,2)</f>
        <v>2</v>
      </c>
      <c r="C177">
        <v>147</v>
      </c>
      <c r="D177">
        <v>176</v>
      </c>
    </row>
    <row r="178" spans="1:4" x14ac:dyDescent="0.2">
      <c r="A178" s="10" t="s">
        <v>175</v>
      </c>
      <c r="B178" s="10">
        <f>VLOOKUP(przech_odp_zainteresowanie_esport[[#This Row],[Zainteresowanie e-sport]],zainteresowanie_esport!A:C,2)</f>
        <v>5</v>
      </c>
      <c r="C178">
        <v>148</v>
      </c>
      <c r="D178">
        <v>177</v>
      </c>
    </row>
    <row r="179" spans="1:4" x14ac:dyDescent="0.2">
      <c r="A179" s="10" t="s">
        <v>174</v>
      </c>
      <c r="B179" s="10">
        <f>VLOOKUP(przech_odp_zainteresowanie_esport[[#This Row],[Zainteresowanie e-sport]],zainteresowanie_esport!A:C,2)</f>
        <v>4</v>
      </c>
      <c r="C179">
        <v>148</v>
      </c>
      <c r="D179">
        <v>178</v>
      </c>
    </row>
    <row r="180" spans="1:4" x14ac:dyDescent="0.2">
      <c r="A180" s="10" t="s">
        <v>176</v>
      </c>
      <c r="B180" s="10">
        <f>VLOOKUP(przech_odp_zainteresowanie_esport[[#This Row],[Zainteresowanie e-sport]],zainteresowanie_esport!A:C,2)</f>
        <v>3</v>
      </c>
      <c r="C180">
        <v>149</v>
      </c>
      <c r="D180">
        <v>179</v>
      </c>
    </row>
    <row r="181" spans="1:4" x14ac:dyDescent="0.2">
      <c r="A181" s="10" t="s">
        <v>175</v>
      </c>
      <c r="B181" s="10">
        <f>VLOOKUP(przech_odp_zainteresowanie_esport[[#This Row],[Zainteresowanie e-sport]],zainteresowanie_esport!A:C,2)</f>
        <v>5</v>
      </c>
      <c r="C181">
        <v>150</v>
      </c>
      <c r="D181">
        <v>180</v>
      </c>
    </row>
    <row r="182" spans="1:4" x14ac:dyDescent="0.2">
      <c r="A182" s="10" t="s">
        <v>174</v>
      </c>
      <c r="B182" s="10">
        <f>VLOOKUP(przech_odp_zainteresowanie_esport[[#This Row],[Zainteresowanie e-sport]],zainteresowanie_esport!A:C,2)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VLOOKUP(przech_odp_zainteresowanie_esport[[#This Row],[Zainteresowanie e-sport]],zainteresowanie_esport!A:C,2)</f>
        <v>1</v>
      </c>
      <c r="C183">
        <v>151</v>
      </c>
      <c r="D183">
        <v>182</v>
      </c>
    </row>
    <row r="184" spans="1:4" x14ac:dyDescent="0.2">
      <c r="A184" s="10" t="s">
        <v>175</v>
      </c>
      <c r="B184" s="10">
        <f>VLOOKUP(przech_odp_zainteresowanie_esport[[#This Row],[Zainteresowanie e-sport]],zainteresowanie_esport!A:C,2)</f>
        <v>5</v>
      </c>
      <c r="C184">
        <v>152</v>
      </c>
      <c r="D184">
        <v>183</v>
      </c>
    </row>
    <row r="185" spans="1:4" x14ac:dyDescent="0.2">
      <c r="A185" s="10" t="s">
        <v>174</v>
      </c>
      <c r="B185" s="10">
        <f>VLOOKUP(przech_odp_zainteresowanie_esport[[#This Row],[Zainteresowanie e-sport]],zainteresowanie_esport!A:C,2)</f>
        <v>4</v>
      </c>
      <c r="C185">
        <v>152</v>
      </c>
      <c r="D185">
        <v>184</v>
      </c>
    </row>
    <row r="186" spans="1:4" x14ac:dyDescent="0.2">
      <c r="A186" s="10" t="s">
        <v>174</v>
      </c>
      <c r="B186" s="10">
        <f>VLOOKUP(przech_odp_zainteresowanie_esport[[#This Row],[Zainteresowanie e-sport]],zainteresowanie_esport!A:C,2)</f>
        <v>4</v>
      </c>
      <c r="C186">
        <v>153</v>
      </c>
      <c r="D186">
        <v>185</v>
      </c>
    </row>
    <row r="187" spans="1:4" x14ac:dyDescent="0.2">
      <c r="A187" s="10" t="s">
        <v>176</v>
      </c>
      <c r="B187" s="10">
        <f>VLOOKUP(przech_odp_zainteresowanie_esport[[#This Row],[Zainteresowanie e-sport]],zainteresowanie_esport!A:C,2)</f>
        <v>3</v>
      </c>
      <c r="C187">
        <v>153</v>
      </c>
      <c r="D187">
        <v>186</v>
      </c>
    </row>
    <row r="188" spans="1:4" x14ac:dyDescent="0.2">
      <c r="A188" s="10" t="s">
        <v>176</v>
      </c>
      <c r="B188" s="10">
        <f>VLOOKUP(przech_odp_zainteresowanie_esport[[#This Row],[Zainteresowanie e-sport]],zainteresowanie_esport!A:C,2)</f>
        <v>3</v>
      </c>
      <c r="C188">
        <v>154</v>
      </c>
      <c r="D188">
        <v>187</v>
      </c>
    </row>
    <row r="189" spans="1:4" x14ac:dyDescent="0.2">
      <c r="A189" s="10" t="s">
        <v>174</v>
      </c>
      <c r="B189" s="10">
        <f>VLOOKUP(przech_odp_zainteresowanie_esport[[#This Row],[Zainteresowanie e-sport]],zainteresowanie_esport!A:C,2)</f>
        <v>4</v>
      </c>
      <c r="C189">
        <v>155</v>
      </c>
      <c r="D189">
        <v>188</v>
      </c>
    </row>
    <row r="190" spans="1:4" x14ac:dyDescent="0.2">
      <c r="A190" s="10" t="s">
        <v>175</v>
      </c>
      <c r="B190" s="10">
        <f>VLOOKUP(przech_odp_zainteresowanie_esport[[#This Row],[Zainteresowanie e-sport]],zainteresowanie_esport!A:C,2)</f>
        <v>5</v>
      </c>
      <c r="C190">
        <v>156</v>
      </c>
      <c r="D190">
        <v>189</v>
      </c>
    </row>
    <row r="191" spans="1:4" x14ac:dyDescent="0.2">
      <c r="A191" s="10" t="s">
        <v>174</v>
      </c>
      <c r="B191" s="10">
        <f>VLOOKUP(przech_odp_zainteresowanie_esport[[#This Row],[Zainteresowanie e-sport]],zainteresowanie_esport!A:C,2)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VLOOKUP(przech_odp_zainteresowanie_esport[[#This Row],[Zainteresowanie e-sport]],zainteresowanie_esport!A:C,2)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VLOOKUP(przech_odp_zainteresowanie_esport[[#This Row],[Zainteresowanie e-sport]],zainteresowanie_esport!A:C,2)</f>
        <v>2</v>
      </c>
      <c r="C193">
        <v>158</v>
      </c>
      <c r="D193">
        <v>192</v>
      </c>
    </row>
    <row r="194" spans="1:4" x14ac:dyDescent="0.2">
      <c r="A194" s="10" t="s">
        <v>176</v>
      </c>
      <c r="B194" s="10">
        <f>VLOOKUP(przech_odp_zainteresowanie_esport[[#This Row],[Zainteresowanie e-sport]],zainteresowanie_esport!A:C,2)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VLOOKUP(przech_odp_zainteresowanie_esport[[#This Row],[Zainteresowanie e-sport]],zainteresowanie_esport!A:C,2)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VLOOKUP(przech_odp_zainteresowanie_esport[[#This Row],[Zainteresowanie e-sport]],zainteresowanie_esport!A:C,2)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VLOOKUP(przech_odp_zainteresowanie_esport[[#This Row],[Zainteresowanie e-sport]],zainteresowanie_esport!A:C,2)</f>
        <v>1</v>
      </c>
      <c r="C197">
        <v>161</v>
      </c>
      <c r="D197">
        <v>196</v>
      </c>
    </row>
    <row r="198" spans="1:4" x14ac:dyDescent="0.2">
      <c r="A198" s="10" t="s">
        <v>175</v>
      </c>
      <c r="B198" s="10">
        <f>VLOOKUP(przech_odp_zainteresowanie_esport[[#This Row],[Zainteresowanie e-sport]],zainteresowanie_esport!A:C,2)</f>
        <v>5</v>
      </c>
      <c r="C198">
        <v>162</v>
      </c>
      <c r="D198">
        <v>197</v>
      </c>
    </row>
    <row r="199" spans="1:4" x14ac:dyDescent="0.2">
      <c r="A199" s="10" t="s">
        <v>174</v>
      </c>
      <c r="B199" s="10">
        <f>VLOOKUP(przech_odp_zainteresowanie_esport[[#This Row],[Zainteresowanie e-sport]],zainteresowanie_esport!A:C,2)</f>
        <v>4</v>
      </c>
      <c r="C199">
        <v>162</v>
      </c>
      <c r="D199">
        <v>198</v>
      </c>
    </row>
    <row r="200" spans="1:4" x14ac:dyDescent="0.2">
      <c r="A200" s="10" t="s">
        <v>175</v>
      </c>
      <c r="B200" s="10">
        <f>VLOOKUP(przech_odp_zainteresowanie_esport[[#This Row],[Zainteresowanie e-sport]],zainteresowanie_esport!A:C,2)</f>
        <v>5</v>
      </c>
      <c r="C200">
        <v>163</v>
      </c>
      <c r="D200">
        <v>199</v>
      </c>
    </row>
    <row r="201" spans="1:4" x14ac:dyDescent="0.2">
      <c r="A201" s="10" t="s">
        <v>174</v>
      </c>
      <c r="B201" s="10">
        <f>VLOOKUP(przech_odp_zainteresowanie_esport[[#This Row],[Zainteresowanie e-sport]],zainteresowanie_esport!A:C,2)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VLOOKUP(przech_odp_zainteresowanie_esport[[#This Row],[Zainteresowanie e-sport]],zainteresowanie_esport!A:C,2)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VLOOKUP(przech_odp_zainteresowanie_esport[[#This Row],[Zainteresowanie e-sport]],zainteresowanie_esport!A:C,2)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VLOOKUP(przech_odp_zainteresowanie_esport[[#This Row],[Zainteresowanie e-sport]],zainteresowanie_esport!A:C,2)</f>
        <v>1</v>
      </c>
      <c r="C204">
        <v>165</v>
      </c>
      <c r="D204">
        <v>203</v>
      </c>
    </row>
    <row r="205" spans="1:4" x14ac:dyDescent="0.2">
      <c r="A205" s="10" t="s">
        <v>175</v>
      </c>
      <c r="B205" s="10">
        <f>VLOOKUP(przech_odp_zainteresowanie_esport[[#This Row],[Zainteresowanie e-sport]],zainteresowanie_esport!A:C,2)</f>
        <v>5</v>
      </c>
      <c r="C205">
        <v>166</v>
      </c>
      <c r="D205">
        <v>204</v>
      </c>
    </row>
    <row r="206" spans="1:4" x14ac:dyDescent="0.2">
      <c r="A206" s="10" t="s">
        <v>175</v>
      </c>
      <c r="B206" s="10">
        <f>VLOOKUP(przech_odp_zainteresowanie_esport[[#This Row],[Zainteresowanie e-sport]],zainteresowanie_esport!A:C,2)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VLOOKUP(przech_odp_zainteresowanie_esport[[#This Row],[Zainteresowanie e-sport]],zainteresowanie_esport!A:C,2)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VLOOKUP(przech_odp_zainteresowanie_esport[[#This Row],[Zainteresowanie e-sport]],zainteresowanie_esport!A:C,2)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VLOOKUP(przech_odp_zainteresowanie_esport[[#This Row],[Zainteresowanie e-sport]],zainteresowanie_esport!A:C,2)</f>
        <v>1</v>
      </c>
      <c r="C209">
        <v>169</v>
      </c>
      <c r="D209">
        <v>208</v>
      </c>
    </row>
    <row r="210" spans="1:4" x14ac:dyDescent="0.2">
      <c r="A210" s="10" t="s">
        <v>174</v>
      </c>
      <c r="B210" s="10">
        <f>VLOOKUP(przech_odp_zainteresowanie_esport[[#This Row],[Zainteresowanie e-sport]],zainteresowanie_esport!A:C,2)</f>
        <v>4</v>
      </c>
      <c r="C210">
        <v>170</v>
      </c>
      <c r="D210">
        <v>209</v>
      </c>
    </row>
    <row r="211" spans="1:4" x14ac:dyDescent="0.2">
      <c r="A211" s="10" t="s">
        <v>174</v>
      </c>
      <c r="B211" s="10">
        <f>VLOOKUP(przech_odp_zainteresowanie_esport[[#This Row],[Zainteresowanie e-sport]],zainteresowanie_esport!A:C,2)</f>
        <v>4</v>
      </c>
      <c r="C211">
        <v>171</v>
      </c>
      <c r="D211">
        <v>210</v>
      </c>
    </row>
    <row r="212" spans="1:4" x14ac:dyDescent="0.2">
      <c r="A212" s="10" t="s">
        <v>176</v>
      </c>
      <c r="B212" s="10">
        <f>VLOOKUP(przech_odp_zainteresowanie_esport[[#This Row],[Zainteresowanie e-sport]],zainteresowanie_esport!A:C,2)</f>
        <v>3</v>
      </c>
      <c r="C212">
        <v>172</v>
      </c>
      <c r="D212">
        <v>211</v>
      </c>
    </row>
    <row r="213" spans="1:4" x14ac:dyDescent="0.2">
      <c r="A213" s="10" t="s">
        <v>175</v>
      </c>
      <c r="B213" s="10">
        <f>VLOOKUP(przech_odp_zainteresowanie_esport[[#This Row],[Zainteresowanie e-sport]],zainteresowanie_esport!A:C,2)</f>
        <v>5</v>
      </c>
      <c r="C213">
        <v>173</v>
      </c>
      <c r="D213">
        <v>212</v>
      </c>
    </row>
    <row r="214" spans="1:4" x14ac:dyDescent="0.2">
      <c r="A214" s="10" t="s">
        <v>174</v>
      </c>
      <c r="B214" s="10">
        <f>VLOOKUP(przech_odp_zainteresowanie_esport[[#This Row],[Zainteresowanie e-sport]],zainteresowanie_esport!A:C,2)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VLOOKUP(przech_odp_zainteresowanie_esport[[#This Row],[Zainteresowanie e-sport]],zainteresowanie_esport!A:C,2)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VLOOKUP(przech_odp_zainteresowanie_esport[[#This Row],[Zainteresowanie e-sport]],zainteresowanie_esport!A:C,2)</f>
        <v>1</v>
      </c>
      <c r="C216">
        <v>175</v>
      </c>
      <c r="D216">
        <v>215</v>
      </c>
    </row>
    <row r="217" spans="1:4" x14ac:dyDescent="0.2">
      <c r="A217" s="10" t="s">
        <v>175</v>
      </c>
      <c r="B217" s="10">
        <f>VLOOKUP(przech_odp_zainteresowanie_esport[[#This Row],[Zainteresowanie e-sport]],zainteresowanie_esport!A:C,2)</f>
        <v>5</v>
      </c>
      <c r="C217">
        <v>176</v>
      </c>
      <c r="D217">
        <v>216</v>
      </c>
    </row>
    <row r="218" spans="1:4" x14ac:dyDescent="0.2">
      <c r="A218" s="10" t="s">
        <v>176</v>
      </c>
      <c r="B218" s="10">
        <f>VLOOKUP(przech_odp_zainteresowanie_esport[[#This Row],[Zainteresowanie e-sport]],zainteresowanie_esport!A:C,2)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VLOOKUP(przech_odp_zainteresowanie_esport[[#This Row],[Zainteresowanie e-sport]],zainteresowanie_esport!A:C,2)</f>
        <v>1</v>
      </c>
      <c r="C219">
        <v>177</v>
      </c>
      <c r="D219">
        <v>218</v>
      </c>
    </row>
    <row r="220" spans="1:4" x14ac:dyDescent="0.2">
      <c r="A220" s="10" t="s">
        <v>176</v>
      </c>
      <c r="B220" s="10">
        <f>VLOOKUP(przech_odp_zainteresowanie_esport[[#This Row],[Zainteresowanie e-sport]],zainteresowanie_esport!A:C,2)</f>
        <v>3</v>
      </c>
      <c r="C220">
        <v>178</v>
      </c>
      <c r="D220">
        <v>219</v>
      </c>
    </row>
    <row r="221" spans="1:4" x14ac:dyDescent="0.2">
      <c r="A221" s="10" t="s">
        <v>176</v>
      </c>
      <c r="B221" s="10">
        <f>VLOOKUP(przech_odp_zainteresowanie_esport[[#This Row],[Zainteresowanie e-sport]],zainteresowanie_esport!A:C,2)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VLOOKUP(przech_odp_zainteresowanie_esport[[#This Row],[Zainteresowanie e-sport]],zainteresowanie_esport!A:C,2)</f>
        <v>1</v>
      </c>
      <c r="C222">
        <v>180</v>
      </c>
      <c r="D222">
        <v>221</v>
      </c>
    </row>
    <row r="223" spans="1:4" x14ac:dyDescent="0.2">
      <c r="A223" s="10" t="s">
        <v>174</v>
      </c>
      <c r="B223" s="10">
        <f>VLOOKUP(przech_odp_zainteresowanie_esport[[#This Row],[Zainteresowanie e-sport]],zainteresowanie_esport!A:C,2)</f>
        <v>4</v>
      </c>
      <c r="C223">
        <v>181</v>
      </c>
      <c r="D223">
        <v>222</v>
      </c>
    </row>
    <row r="224" spans="1:4" x14ac:dyDescent="0.2">
      <c r="A224" s="10" t="s">
        <v>175</v>
      </c>
      <c r="B224" s="10">
        <f>VLOOKUP(przech_odp_zainteresowanie_esport[[#This Row],[Zainteresowanie e-sport]],zainteresowanie_esport!A:C,2)</f>
        <v>5</v>
      </c>
      <c r="C224">
        <v>182</v>
      </c>
      <c r="D224">
        <v>223</v>
      </c>
    </row>
    <row r="225" spans="1:4" x14ac:dyDescent="0.2">
      <c r="A225" s="10" t="s">
        <v>174</v>
      </c>
      <c r="B225" s="10">
        <f>VLOOKUP(przech_odp_zainteresowanie_esport[[#This Row],[Zainteresowanie e-sport]],zainteresowanie_esport!A:C,2)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VLOOKUP(przech_odp_zainteresowanie_esport[[#This Row],[Zainteresowanie e-sport]],zainteresowanie_esport!A:C,2)</f>
        <v>2</v>
      </c>
      <c r="C226">
        <v>183</v>
      </c>
      <c r="D226">
        <v>225</v>
      </c>
    </row>
    <row r="227" spans="1:4" x14ac:dyDescent="0.2">
      <c r="A227" s="10" t="s">
        <v>174</v>
      </c>
      <c r="B227" s="10">
        <f>VLOOKUP(przech_odp_zainteresowanie_esport[[#This Row],[Zainteresowanie e-sport]],zainteresowanie_esport!A:C,2)</f>
        <v>4</v>
      </c>
      <c r="C227">
        <v>184</v>
      </c>
      <c r="D227">
        <v>226</v>
      </c>
    </row>
    <row r="228" spans="1:4" x14ac:dyDescent="0.2">
      <c r="A228" s="10" t="s">
        <v>175</v>
      </c>
      <c r="B228" s="10">
        <f>VLOOKUP(przech_odp_zainteresowanie_esport[[#This Row],[Zainteresowanie e-sport]],zainteresowanie_esport!A:C,2)</f>
        <v>5</v>
      </c>
      <c r="C228">
        <v>185</v>
      </c>
      <c r="D228">
        <v>227</v>
      </c>
    </row>
    <row r="229" spans="1:4" x14ac:dyDescent="0.2">
      <c r="A229" s="10" t="s">
        <v>174</v>
      </c>
      <c r="B229" s="10">
        <f>VLOOKUP(przech_odp_zainteresowanie_esport[[#This Row],[Zainteresowanie e-sport]],zainteresowanie_esport!A:C,2)</f>
        <v>4</v>
      </c>
      <c r="C229">
        <v>185</v>
      </c>
      <c r="D229">
        <v>228</v>
      </c>
    </row>
    <row r="230" spans="1:4" x14ac:dyDescent="0.2">
      <c r="A230" s="10" t="s">
        <v>174</v>
      </c>
      <c r="B230" s="10">
        <f>VLOOKUP(przech_odp_zainteresowanie_esport[[#This Row],[Zainteresowanie e-sport]],zainteresowanie_esport!A:C,2)</f>
        <v>4</v>
      </c>
      <c r="C230">
        <v>186</v>
      </c>
      <c r="D230">
        <v>229</v>
      </c>
    </row>
    <row r="231" spans="1:4" x14ac:dyDescent="0.2">
      <c r="A231" s="10" t="s">
        <v>175</v>
      </c>
      <c r="B231" s="10">
        <f>VLOOKUP(przech_odp_zainteresowanie_esport[[#This Row],[Zainteresowanie e-sport]],zainteresowanie_esport!A:C,2)</f>
        <v>5</v>
      </c>
      <c r="C231">
        <v>187</v>
      </c>
      <c r="D231">
        <v>230</v>
      </c>
    </row>
    <row r="232" spans="1:4" x14ac:dyDescent="0.2">
      <c r="A232" s="10" t="s">
        <v>174</v>
      </c>
      <c r="B232" s="10">
        <f>VLOOKUP(przech_odp_zainteresowanie_esport[[#This Row],[Zainteresowanie e-sport]],zainteresowanie_esport!A:C,2)</f>
        <v>4</v>
      </c>
      <c r="C232">
        <v>188</v>
      </c>
      <c r="D232">
        <v>231</v>
      </c>
    </row>
    <row r="233" spans="1:4" x14ac:dyDescent="0.2">
      <c r="A233" s="10" t="s">
        <v>175</v>
      </c>
      <c r="B233" s="10">
        <f>VLOOKUP(przech_odp_zainteresowanie_esport[[#This Row],[Zainteresowanie e-sport]],zainteresowanie_esport!A:C,2)</f>
        <v>5</v>
      </c>
      <c r="C233">
        <v>189</v>
      </c>
      <c r="D233">
        <v>232</v>
      </c>
    </row>
    <row r="234" spans="1:4" x14ac:dyDescent="0.2">
      <c r="A234" s="10" t="s">
        <v>174</v>
      </c>
      <c r="B234" s="10">
        <f>VLOOKUP(przech_odp_zainteresowanie_esport[[#This Row],[Zainteresowanie e-sport]],zainteresowanie_esport!A:C,2)</f>
        <v>4</v>
      </c>
      <c r="C234">
        <v>189</v>
      </c>
      <c r="D234">
        <v>233</v>
      </c>
    </row>
    <row r="235" spans="1:4" x14ac:dyDescent="0.2">
      <c r="A235" s="10" t="s">
        <v>175</v>
      </c>
      <c r="B235" s="10">
        <f>VLOOKUP(przech_odp_zainteresowanie_esport[[#This Row],[Zainteresowanie e-sport]],zainteresowanie_esport!A:C,2)</f>
        <v>5</v>
      </c>
      <c r="C235">
        <v>190</v>
      </c>
      <c r="D235">
        <v>234</v>
      </c>
    </row>
    <row r="236" spans="1:4" x14ac:dyDescent="0.2">
      <c r="A236" s="10" t="s">
        <v>174</v>
      </c>
      <c r="B236" s="10">
        <f>VLOOKUP(przech_odp_zainteresowanie_esport[[#This Row],[Zainteresowanie e-sport]],zainteresowanie_esport!A:C,2)</f>
        <v>4</v>
      </c>
      <c r="C236">
        <v>190</v>
      </c>
      <c r="D236">
        <v>235</v>
      </c>
    </row>
    <row r="237" spans="1:4" x14ac:dyDescent="0.2">
      <c r="A237" s="10" t="s">
        <v>175</v>
      </c>
      <c r="B237" s="10">
        <f>VLOOKUP(przech_odp_zainteresowanie_esport[[#This Row],[Zainteresowanie e-sport]],zainteresowanie_esport!A:C,2)</f>
        <v>5</v>
      </c>
      <c r="C237">
        <v>191</v>
      </c>
      <c r="D237">
        <v>236</v>
      </c>
    </row>
    <row r="238" spans="1:4" x14ac:dyDescent="0.2">
      <c r="A238" s="10" t="s">
        <v>174</v>
      </c>
      <c r="B238" s="10">
        <f>VLOOKUP(przech_odp_zainteresowanie_esport[[#This Row],[Zainteresowanie e-sport]],zainteresowanie_esport!A:C,2)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VLOOKUP(przech_odp_zainteresowanie_esport[[#This Row],[Zainteresowanie e-sport]],zainteresowanie_esport!A:C,2)</f>
        <v>2</v>
      </c>
      <c r="C239">
        <v>192</v>
      </c>
      <c r="D239">
        <v>238</v>
      </c>
    </row>
    <row r="240" spans="1:4" x14ac:dyDescent="0.2">
      <c r="A240" s="10" t="s">
        <v>175</v>
      </c>
      <c r="B240" s="10">
        <f>VLOOKUP(przech_odp_zainteresowanie_esport[[#This Row],[Zainteresowanie e-sport]],zainteresowanie_esport!A:C,2)</f>
        <v>5</v>
      </c>
      <c r="C240">
        <v>193</v>
      </c>
      <c r="D240">
        <v>239</v>
      </c>
    </row>
    <row r="241" spans="1:4" x14ac:dyDescent="0.2">
      <c r="A241" s="10" t="s">
        <v>174</v>
      </c>
      <c r="B241" s="10">
        <f>VLOOKUP(przech_odp_zainteresowanie_esport[[#This Row],[Zainteresowanie e-sport]],zainteresowanie_esport!A:C,2)</f>
        <v>4</v>
      </c>
      <c r="C241">
        <v>193</v>
      </c>
      <c r="D241">
        <v>240</v>
      </c>
    </row>
    <row r="242" spans="1:4" x14ac:dyDescent="0.2">
      <c r="A242" s="10" t="s">
        <v>176</v>
      </c>
      <c r="B242" s="10">
        <f>VLOOKUP(przech_odp_zainteresowanie_esport[[#This Row],[Zainteresowanie e-sport]],zainteresowanie_esport!A:C,2)</f>
        <v>3</v>
      </c>
      <c r="C242">
        <v>194</v>
      </c>
      <c r="D242">
        <v>241</v>
      </c>
    </row>
    <row r="243" spans="1:4" x14ac:dyDescent="0.2">
      <c r="A243" s="10" t="s">
        <v>176</v>
      </c>
      <c r="B243" s="10">
        <f>VLOOKUP(przech_odp_zainteresowanie_esport[[#This Row],[Zainteresowanie e-sport]],zainteresowanie_esport!A:C,2)</f>
        <v>3</v>
      </c>
      <c r="C243">
        <v>195</v>
      </c>
      <c r="D243">
        <v>242</v>
      </c>
    </row>
    <row r="244" spans="1:4" x14ac:dyDescent="0.2">
      <c r="A244" s="10" t="s">
        <v>176</v>
      </c>
      <c r="B244" s="10">
        <f>VLOOKUP(przech_odp_zainteresowanie_esport[[#This Row],[Zainteresowanie e-sport]],zainteresowanie_esport!A:C,2)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VLOOKUP(przech_odp_zainteresowanie_esport[[#This Row],[Zainteresowanie e-sport]],zainteresowanie_esport!A:C,2)</f>
        <v>1</v>
      </c>
      <c r="C245">
        <v>197</v>
      </c>
      <c r="D245">
        <v>244</v>
      </c>
    </row>
    <row r="246" spans="1:4" x14ac:dyDescent="0.2">
      <c r="A246" s="10" t="s">
        <v>174</v>
      </c>
      <c r="B246" s="10">
        <f>VLOOKUP(przech_odp_zainteresowanie_esport[[#This Row],[Zainteresowanie e-sport]],zainteresowanie_esport!A:C,2)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VLOOKUP(przech_odp_zainteresowanie_esport[[#This Row],[Zainteresowanie e-sport]],zainteresowanie_esport!A:C,2)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9.42578125" bestFit="1" customWidth="1"/>
    <col min="4" max="4" width="30.85546875" bestFit="1" customWidth="1"/>
  </cols>
  <sheetData>
    <row r="1" spans="1:4" x14ac:dyDescent="0.2">
      <c r="A1" t="s">
        <v>86</v>
      </c>
      <c r="B1" s="11" t="s">
        <v>215</v>
      </c>
      <c r="C1" t="s">
        <v>199</v>
      </c>
      <c r="D1" s="11" t="s">
        <v>208</v>
      </c>
    </row>
    <row r="2" spans="1:4" x14ac:dyDescent="0.2">
      <c r="A2" s="10" t="s">
        <v>30</v>
      </c>
      <c r="B2" s="10">
        <f>VLOOKUP(przech_odp_gry_regularne[[#This Row],[Gry regularne]],gry_regularne[],2)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VLOOKUP(przech_odp_gry_regularne[[#This Row],[Gry regularne]],gry_regularne[],2)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VLOOKUP(przech_odp_gry_regularne[[#This Row],[Gry regularne]],gry_regularne[],2)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VLOOKUP(przech_odp_gry_regularne[[#This Row],[Gry regularne]],gry_regularne[],2)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VLOOKUP(przech_odp_gry_regularne[[#This Row],[Gry regularne]],gry_regularne[],2)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VLOOKUP(przech_odp_gry_regularne[[#This Row],[Gry regularne]],gry_regularne[],2)</f>
        <v>4</v>
      </c>
      <c r="C7">
        <v>3</v>
      </c>
      <c r="D7">
        <v>6</v>
      </c>
    </row>
    <row r="8" spans="1:4" x14ac:dyDescent="0.2">
      <c r="A8" s="10" t="s">
        <v>38</v>
      </c>
      <c r="B8" s="10">
        <f>VLOOKUP(przech_odp_gry_regularne[[#This Row],[Gry regularne]],gry_regularne[],2)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VLOOKUP(przech_odp_gry_regularne[[#This Row],[Gry regularne]],gry_regularne[],2)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VLOOKUP(przech_odp_gry_regularne[[#This Row],[Gry regularne]],gry_regularne[],2)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VLOOKUP(przech_odp_gry_regularne[[#This Row],[Gry regularne]],gry_regularne[],2)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VLOOKUP(przech_odp_gry_regularne[[#This Row],[Gry regularne]],gry_regularne[],2)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VLOOKUP(przech_odp_gry_regularne[[#This Row],[Gry regularne]],gry_regularne[],2)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VLOOKUP(przech_odp_gry_regularne[[#This Row],[Gry regularne]],gry_regularne[],2)</f>
        <v>4</v>
      </c>
      <c r="C14">
        <v>7</v>
      </c>
      <c r="D14">
        <v>13</v>
      </c>
    </row>
    <row r="15" spans="1:4" x14ac:dyDescent="0.2">
      <c r="A15" s="10" t="s">
        <v>91</v>
      </c>
      <c r="B15" s="10">
        <f>VLOOKUP(przech_odp_gry_regularne[[#This Row],[Gry regularne]],gry_regularne[],2)</f>
        <v>15</v>
      </c>
      <c r="C15">
        <v>7</v>
      </c>
      <c r="D15">
        <v>14</v>
      </c>
    </row>
    <row r="16" spans="1:4" x14ac:dyDescent="0.2">
      <c r="A16" s="10" t="s">
        <v>91</v>
      </c>
      <c r="B16" s="10">
        <f>VLOOKUP(przech_odp_gry_regularne[[#This Row],[Gry regularne]],gry_regularne[],2)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VLOOKUP(przech_odp_gry_regularne[[#This Row],[Gry regularne]],gry_regularne[],2)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VLOOKUP(przech_odp_gry_regularne[[#This Row],[Gry regularne]],gry_regularne[],2)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VLOOKUP(przech_odp_gry_regularne[[#This Row],[Gry regularne]],gry_regularne[],2)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VLOOKUP(przech_odp_gry_regularne[[#This Row],[Gry regularne]],gry_regularne[],2)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VLOOKUP(przech_odp_gry_regularne[[#This Row],[Gry regularne]],gry_regularne[],2)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VLOOKUP(przech_odp_gry_regularne[[#This Row],[Gry regularne]],gry_regularne[],2)</f>
        <v>17</v>
      </c>
      <c r="C22">
        <v>12</v>
      </c>
      <c r="D22">
        <v>21</v>
      </c>
    </row>
    <row r="23" spans="1:4" x14ac:dyDescent="0.2">
      <c r="A23" s="10" t="s">
        <v>91</v>
      </c>
      <c r="B23" s="10">
        <f>VLOOKUP(przech_odp_gry_regularne[[#This Row],[Gry regularne]],gry_regularne[],2)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VLOOKUP(przech_odp_gry_regularne[[#This Row],[Gry regularne]],gry_regularne[],2)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VLOOKUP(przech_odp_gry_regularne[[#This Row],[Gry regularne]],gry_regularne[],2)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VLOOKUP(przech_odp_gry_regularne[[#This Row],[Gry regularne]],gry_regularne[],2)</f>
        <v>17</v>
      </c>
      <c r="C26">
        <v>16</v>
      </c>
      <c r="D26">
        <v>25</v>
      </c>
    </row>
    <row r="27" spans="1:4" x14ac:dyDescent="0.2">
      <c r="A27" s="10" t="s">
        <v>38</v>
      </c>
      <c r="B27" s="10">
        <f>VLOOKUP(przech_odp_gry_regularne[[#This Row],[Gry regularne]],gry_regularne[],2)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VLOOKUP(przech_odp_gry_regularne[[#This Row],[Gry regularne]],gry_regularne[],2)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VLOOKUP(przech_odp_gry_regularne[[#This Row],[Gry regularne]],gry_regularne[],2)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VLOOKUP(przech_odp_gry_regularne[[#This Row],[Gry regularne]],gry_regularne[],2)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VLOOKUP(przech_odp_gry_regularne[[#This Row],[Gry regularne]],gry_regularne[],2)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VLOOKUP(przech_odp_gry_regularne[[#This Row],[Gry regularne]],gry_regularne[],2)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VLOOKUP(przech_odp_gry_regularne[[#This Row],[Gry regularne]],gry_regularne[],2)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VLOOKUP(przech_odp_gry_regularne[[#This Row],[Gry regularne]],gry_regularne[],2)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VLOOKUP(przech_odp_gry_regularne[[#This Row],[Gry regularne]],gry_regularne[],2)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VLOOKUP(przech_odp_gry_regularne[[#This Row],[Gry regularne]],gry_regularne[],2)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VLOOKUP(przech_odp_gry_regularne[[#This Row],[Gry regularne]],gry_regularne[],2)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VLOOKUP(przech_odp_gry_regularne[[#This Row],[Gry regularne]],gry_regularne[],2)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VLOOKUP(przech_odp_gry_regularne[[#This Row],[Gry regularne]],gry_regularne[],2)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VLOOKUP(przech_odp_gry_regularne[[#This Row],[Gry regularne]],gry_regularne[],2)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VLOOKUP(przech_odp_gry_regularne[[#This Row],[Gry regularne]],gry_regularne[],2)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VLOOKUP(przech_odp_gry_regularne[[#This Row],[Gry regularne]],gry_regularne[],2)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VLOOKUP(przech_odp_gry_regularne[[#This Row],[Gry regularne]],gry_regularne[],2)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VLOOKUP(przech_odp_gry_regularne[[#This Row],[Gry regularne]],gry_regularne[],2)</f>
        <v>9</v>
      </c>
      <c r="C44">
        <v>31</v>
      </c>
      <c r="D44">
        <v>43</v>
      </c>
    </row>
    <row r="45" spans="1:4" x14ac:dyDescent="0.2">
      <c r="A45" s="10" t="s">
        <v>38</v>
      </c>
      <c r="B45" s="10">
        <f>VLOOKUP(przech_odp_gry_regularne[[#This Row],[Gry regularne]],gry_regularne[],2)</f>
        <v>28</v>
      </c>
      <c r="C45">
        <v>32</v>
      </c>
      <c r="D45">
        <v>44</v>
      </c>
    </row>
    <row r="46" spans="1:4" x14ac:dyDescent="0.2">
      <c r="A46" s="10" t="s">
        <v>53</v>
      </c>
      <c r="B46" s="10">
        <f>VLOOKUP(przech_odp_gry_regularne[[#This Row],[Gry regularne]],gry_regularne[],2)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VLOOKUP(przech_odp_gry_regularne[[#This Row],[Gry regularne]],gry_regularne[],2)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VLOOKUP(przech_odp_gry_regularne[[#This Row],[Gry regularne]],gry_regularne[],2)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VLOOKUP(przech_odp_gry_regularne[[#This Row],[Gry regularne]],gry_regularne[],2)</f>
        <v>17</v>
      </c>
      <c r="C49">
        <v>35</v>
      </c>
      <c r="D49">
        <v>48</v>
      </c>
    </row>
    <row r="50" spans="1:4" x14ac:dyDescent="0.2">
      <c r="A50" s="10" t="s">
        <v>94</v>
      </c>
      <c r="B50" s="10">
        <f>VLOOKUP(przech_odp_gry_regularne[[#This Row],[Gry regularne]],gry_regularne[],2)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VLOOKUP(przech_odp_gry_regularne[[#This Row],[Gry regularne]],gry_regularne[],2)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VLOOKUP(przech_odp_gry_regularne[[#This Row],[Gry regularne]],gry_regularne[],2)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VLOOKUP(przech_odp_gry_regularne[[#This Row],[Gry regularne]],gry_regularne[],2)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VLOOKUP(przech_odp_gry_regularne[[#This Row],[Gry regularne]],gry_regularne[],2)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VLOOKUP(przech_odp_gry_regularne[[#This Row],[Gry regularne]],gry_regularne[],2)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VLOOKUP(przech_odp_gry_regularne[[#This Row],[Gry regularne]],gry_regularne[],2)</f>
        <v>7</v>
      </c>
      <c r="C56">
        <v>42</v>
      </c>
      <c r="D56">
        <v>55</v>
      </c>
    </row>
    <row r="57" spans="1:4" x14ac:dyDescent="0.2">
      <c r="A57" s="10" t="s">
        <v>164</v>
      </c>
      <c r="B57" s="10">
        <f>VLOOKUP(przech_odp_gry_regularne[[#This Row],[Gry regularne]],gry_regularne[],2)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VLOOKUP(przech_odp_gry_regularne[[#This Row],[Gry regularne]],gry_regularne[],2)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VLOOKUP(przech_odp_gry_regularne[[#This Row],[Gry regularne]],gry_regularne[],2)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VLOOKUP(przech_odp_gry_regularne[[#This Row],[Gry regularne]],gry_regularne[],2)</f>
        <v>21</v>
      </c>
      <c r="C60">
        <v>45</v>
      </c>
      <c r="D60">
        <v>59</v>
      </c>
    </row>
    <row r="61" spans="1:4" x14ac:dyDescent="0.2">
      <c r="A61" s="10" t="s">
        <v>52</v>
      </c>
      <c r="B61" s="10">
        <f>VLOOKUP(przech_odp_gry_regularne[[#This Row],[Gry regularne]],gry_regularne[],2)</f>
        <v>36</v>
      </c>
      <c r="C61">
        <v>46</v>
      </c>
      <c r="D61">
        <v>60</v>
      </c>
    </row>
    <row r="62" spans="1:4" x14ac:dyDescent="0.2">
      <c r="A62" s="10" t="s">
        <v>53</v>
      </c>
      <c r="B62" s="10">
        <f>VLOOKUP(przech_odp_gry_regularne[[#This Row],[Gry regularne]],gry_regularne[],2)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VLOOKUP(przech_odp_gry_regularne[[#This Row],[Gry regularne]],gry_regularne[],2)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VLOOKUP(przech_odp_gry_regularne[[#This Row],[Gry regularne]],gry_regularne[],2)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VLOOKUP(przech_odp_gry_regularne[[#This Row],[Gry regularne]],gry_regularne[],2)</f>
        <v>4</v>
      </c>
      <c r="C65">
        <v>50</v>
      </c>
      <c r="D65">
        <v>64</v>
      </c>
    </row>
    <row r="66" spans="1:4" x14ac:dyDescent="0.2">
      <c r="A66" s="10" t="s">
        <v>38</v>
      </c>
      <c r="B66" s="10">
        <f>VLOOKUP(przech_odp_gry_regularne[[#This Row],[Gry regularne]],gry_regularne[],2)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VLOOKUP(przech_odp_gry_regularne[[#This Row],[Gry regularne]],gry_regularne[],2)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VLOOKUP(przech_odp_gry_regularne[[#This Row],[Gry regularne]],gry_regularne[],2)</f>
        <v>17</v>
      </c>
      <c r="C68">
        <v>51</v>
      </c>
      <c r="D68">
        <v>67</v>
      </c>
    </row>
    <row r="69" spans="1:4" x14ac:dyDescent="0.2">
      <c r="A69" s="10" t="s">
        <v>165</v>
      </c>
      <c r="B69" s="10">
        <f>VLOOKUP(przech_odp_gry_regularne[[#This Row],[Gry regularne]],gry_regularne[],2)</f>
        <v>37</v>
      </c>
      <c r="C69">
        <v>51</v>
      </c>
      <c r="D69">
        <v>68</v>
      </c>
    </row>
    <row r="70" spans="1:4" x14ac:dyDescent="0.2">
      <c r="A70" s="10" t="s">
        <v>186</v>
      </c>
      <c r="B70" s="10">
        <f>VLOOKUP(przech_odp_gry_regularne[[#This Row],[Gry regularne]],gry_regularne[],2)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VLOOKUP(przech_odp_gry_regularne[[#This Row],[Gry regularne]],gry_regularne[],2)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VLOOKUP(przech_odp_gry_regularne[[#This Row],[Gry regularne]],gry_regularne[],2)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VLOOKUP(przech_odp_gry_regularne[[#This Row],[Gry regularne]],gry_regularne[],2)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VLOOKUP(przech_odp_gry_regularne[[#This Row],[Gry regularne]],gry_regularne[],2)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VLOOKUP(przech_odp_gry_regularne[[#This Row],[Gry regularne]],gry_regularne[],2)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VLOOKUP(przech_odp_gry_regularne[[#This Row],[Gry regularne]],gry_regularne[],2)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VLOOKUP(przech_odp_gry_regularne[[#This Row],[Gry regularne]],gry_regularne[],2)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VLOOKUP(przech_odp_gry_regularne[[#This Row],[Gry regularne]],gry_regularne[],2)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VLOOKUP(przech_odp_gry_regularne[[#This Row],[Gry regularne]],gry_regularne[],2)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VLOOKUP(przech_odp_gry_regularne[[#This Row],[Gry regularne]],gry_regularne[],2)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VLOOKUP(przech_odp_gry_regularne[[#This Row],[Gry regularne]],gry_regularne[],2)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VLOOKUP(przech_odp_gry_regularne[[#This Row],[Gry regularne]],gry_regularne[],2)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VLOOKUP(przech_odp_gry_regularne[[#This Row],[Gry regularne]],gry_regularne[],2)</f>
        <v>21</v>
      </c>
      <c r="C83">
        <v>63</v>
      </c>
      <c r="D83">
        <v>82</v>
      </c>
    </row>
    <row r="84" spans="1:4" x14ac:dyDescent="0.2">
      <c r="A84" s="10" t="s">
        <v>38</v>
      </c>
      <c r="B84" s="10">
        <f>VLOOKUP(przech_odp_gry_regularne[[#This Row],[Gry regularne]],gry_regularne[],2)</f>
        <v>28</v>
      </c>
      <c r="C84">
        <v>64</v>
      </c>
      <c r="D84">
        <v>83</v>
      </c>
    </row>
    <row r="85" spans="1:4" x14ac:dyDescent="0.2">
      <c r="A85" s="10" t="s">
        <v>166</v>
      </c>
      <c r="B85" s="10">
        <f>VLOOKUP(przech_odp_gry_regularne[[#This Row],[Gry regularne]],gry_regularne[],2)</f>
        <v>30</v>
      </c>
      <c r="C85">
        <v>64</v>
      </c>
      <c r="D85">
        <v>84</v>
      </c>
    </row>
    <row r="86" spans="1:4" x14ac:dyDescent="0.2">
      <c r="A86" s="10" t="s">
        <v>94</v>
      </c>
      <c r="B86" s="10">
        <f>VLOOKUP(przech_odp_gry_regularne[[#This Row],[Gry regularne]],gry_regularne[],2)</f>
        <v>34</v>
      </c>
      <c r="C86">
        <v>65</v>
      </c>
      <c r="D86">
        <v>85</v>
      </c>
    </row>
    <row r="87" spans="1:4" x14ac:dyDescent="0.2">
      <c r="A87" s="10" t="s">
        <v>167</v>
      </c>
      <c r="B87" s="10">
        <f>VLOOKUP(przech_odp_gry_regularne[[#This Row],[Gry regularne]],gry_regularne[],2)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VLOOKUP(przech_odp_gry_regularne[[#This Row],[Gry regularne]],gry_regularne[],2)</f>
        <v>17</v>
      </c>
      <c r="C88">
        <v>66</v>
      </c>
      <c r="D88">
        <v>87</v>
      </c>
    </row>
    <row r="89" spans="1:4" x14ac:dyDescent="0.2">
      <c r="A89" s="10" t="s">
        <v>45</v>
      </c>
      <c r="B89" s="10">
        <f>VLOOKUP(przech_odp_gry_regularne[[#This Row],[Gry regularne]],gry_regularne[],2)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VLOOKUP(przech_odp_gry_regularne[[#This Row],[Gry regularne]],gry_regularne[],2)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VLOOKUP(przech_odp_gry_regularne[[#This Row],[Gry regularne]],gry_regularne[],2)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VLOOKUP(przech_odp_gry_regularne[[#This Row],[Gry regularne]],gry_regularne[],2)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VLOOKUP(przech_odp_gry_regularne[[#This Row],[Gry regularne]],gry_regularne[],2)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VLOOKUP(przech_odp_gry_regularne[[#This Row],[Gry regularne]],gry_regularne[],2)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VLOOKUP(przech_odp_gry_regularne[[#This Row],[Gry regularne]],gry_regularne[],2)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VLOOKUP(przech_odp_gry_regularne[[#This Row],[Gry regularne]],gry_regularne[],2)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VLOOKUP(przech_odp_gry_regularne[[#This Row],[Gry regularne]],gry_regularne[],2)</f>
        <v>14</v>
      </c>
      <c r="C97">
        <v>74</v>
      </c>
      <c r="D97">
        <v>96</v>
      </c>
    </row>
    <row r="98" spans="1:4" x14ac:dyDescent="0.2">
      <c r="A98" s="10" t="s">
        <v>52</v>
      </c>
      <c r="B98" s="10">
        <f>VLOOKUP(przech_odp_gry_regularne[[#This Row],[Gry regularne]],gry_regularne[],2)</f>
        <v>36</v>
      </c>
      <c r="C98">
        <v>74</v>
      </c>
      <c r="D98">
        <v>97</v>
      </c>
    </row>
    <row r="99" spans="1:4" x14ac:dyDescent="0.2">
      <c r="A99" s="10" t="s">
        <v>45</v>
      </c>
      <c r="B99" s="10">
        <f>VLOOKUP(przech_odp_gry_regularne[[#This Row],[Gry regularne]],gry_regularne[],2)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VLOOKUP(przech_odp_gry_regularne[[#This Row],[Gry regularne]],gry_regularne[],2)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VLOOKUP(przech_odp_gry_regularne[[#This Row],[Gry regularne]],gry_regularne[],2)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VLOOKUP(przech_odp_gry_regularne[[#This Row],[Gry regularne]],gry_regularne[],2)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VLOOKUP(przech_odp_gry_regularne[[#This Row],[Gry regularne]],gry_regularne[],2)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VLOOKUP(przech_odp_gry_regularne[[#This Row],[Gry regularne]],gry_regularne[],2)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VLOOKUP(przech_odp_gry_regularne[[#This Row],[Gry regularne]],gry_regularne[],2)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VLOOKUP(przech_odp_gry_regularne[[#This Row],[Gry regularne]],gry_regularne[],2)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VLOOKUP(przech_odp_gry_regularne[[#This Row],[Gry regularne]],gry_regularne[],2)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VLOOKUP(przech_odp_gry_regularne[[#This Row],[Gry regularne]],gry_regularne[],2)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VLOOKUP(przech_odp_gry_regularne[[#This Row],[Gry regularne]],gry_regularne[],2)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VLOOKUP(przech_odp_gry_regularne[[#This Row],[Gry regularne]],gry_regularne[],2)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VLOOKUP(przech_odp_gry_regularne[[#This Row],[Gry regularne]],gry_regularne[],2)</f>
        <v>17</v>
      </c>
      <c r="C111">
        <v>81</v>
      </c>
      <c r="D111">
        <v>110</v>
      </c>
    </row>
    <row r="112" spans="1:4" x14ac:dyDescent="0.2">
      <c r="A112" s="10" t="s">
        <v>111</v>
      </c>
      <c r="B112" s="10">
        <f>VLOOKUP(przech_odp_gry_regularne[[#This Row],[Gry regularne]],gry_regularne[],2)</f>
        <v>3</v>
      </c>
      <c r="C112">
        <v>81</v>
      </c>
      <c r="D112">
        <v>111</v>
      </c>
    </row>
    <row r="113" spans="1:4" x14ac:dyDescent="0.2">
      <c r="A113" s="10" t="s">
        <v>48</v>
      </c>
      <c r="B113" s="10">
        <f>VLOOKUP(przech_odp_gry_regularne[[#This Row],[Gry regularne]],gry_regularne[],2)</f>
        <v>9</v>
      </c>
      <c r="C113">
        <v>81</v>
      </c>
      <c r="D113">
        <v>112</v>
      </c>
    </row>
    <row r="114" spans="1:4" x14ac:dyDescent="0.2">
      <c r="A114" s="10" t="s">
        <v>184</v>
      </c>
      <c r="B114" s="10">
        <f>VLOOKUP(przech_odp_gry_regularne[[#This Row],[Gry regularne]],gry_regularne[],2)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VLOOKUP(przech_odp_gry_regularne[[#This Row],[Gry regularne]],gry_regularne[],2)</f>
        <v>21</v>
      </c>
      <c r="C115">
        <v>82</v>
      </c>
      <c r="D115">
        <v>114</v>
      </c>
    </row>
    <row r="116" spans="1:4" x14ac:dyDescent="0.2">
      <c r="A116" s="10" t="s">
        <v>45</v>
      </c>
      <c r="B116" s="10">
        <f>VLOOKUP(przech_odp_gry_regularne[[#This Row],[Gry regularne]],gry_regularne[],2)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VLOOKUP(przech_odp_gry_regularne[[#This Row],[Gry regularne]],gry_regularne[],2)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VLOOKUP(przech_odp_gry_regularne[[#This Row],[Gry regularne]],gry_regularne[],2)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VLOOKUP(przech_odp_gry_regularne[[#This Row],[Gry regularne]],gry_regularne[],2)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VLOOKUP(przech_odp_gry_regularne[[#This Row],[Gry regularne]],gry_regularne[],2)</f>
        <v>4</v>
      </c>
      <c r="C120">
        <v>86</v>
      </c>
      <c r="D120">
        <v>119</v>
      </c>
    </row>
    <row r="121" spans="1:4" x14ac:dyDescent="0.2">
      <c r="A121" s="10" t="s">
        <v>48</v>
      </c>
      <c r="B121" s="10">
        <f>VLOOKUP(przech_odp_gry_regularne[[#This Row],[Gry regularne]],gry_regularne[],2)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VLOOKUP(przech_odp_gry_regularne[[#This Row],[Gry regularne]],gry_regularne[],2)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VLOOKUP(przech_odp_gry_regularne[[#This Row],[Gry regularne]],gry_regularne[],2)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VLOOKUP(przech_odp_gry_regularne[[#This Row],[Gry regularne]],gry_regularne[],2)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VLOOKUP(przech_odp_gry_regularne[[#This Row],[Gry regularne]],gry_regularne[],2)</f>
        <v>17</v>
      </c>
      <c r="C125">
        <v>91</v>
      </c>
      <c r="D125">
        <v>124</v>
      </c>
    </row>
    <row r="126" spans="1:4" x14ac:dyDescent="0.2">
      <c r="A126" s="10" t="s">
        <v>168</v>
      </c>
      <c r="B126" s="10">
        <f>VLOOKUP(przech_odp_gry_regularne[[#This Row],[Gry regularne]],gry_regularne[],2)</f>
        <v>2</v>
      </c>
      <c r="C126">
        <v>92</v>
      </c>
      <c r="D126">
        <v>125</v>
      </c>
    </row>
    <row r="127" spans="1:4" x14ac:dyDescent="0.2">
      <c r="A127" s="10" t="s">
        <v>94</v>
      </c>
      <c r="B127" s="10">
        <f>VLOOKUP(przech_odp_gry_regularne[[#This Row],[Gry regularne]],gry_regularne[],2)</f>
        <v>34</v>
      </c>
      <c r="C127">
        <v>92</v>
      </c>
      <c r="D127">
        <v>126</v>
      </c>
    </row>
    <row r="128" spans="1:4" x14ac:dyDescent="0.2">
      <c r="A128" s="10" t="s">
        <v>111</v>
      </c>
      <c r="B128" s="10">
        <f>VLOOKUP(przech_odp_gry_regularne[[#This Row],[Gry regularne]],gry_regularne[],2)</f>
        <v>3</v>
      </c>
      <c r="C128">
        <v>92</v>
      </c>
      <c r="D128">
        <v>127</v>
      </c>
    </row>
    <row r="129" spans="1:4" x14ac:dyDescent="0.2">
      <c r="A129" s="10" t="s">
        <v>185</v>
      </c>
      <c r="B129" s="10">
        <f>VLOOKUP(przech_odp_gry_regularne[[#This Row],[Gry regularne]],gry_regularne[],2)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VLOOKUP(przech_odp_gry_regularne[[#This Row],[Gry regularne]],gry_regularne[],2)</f>
        <v>4</v>
      </c>
      <c r="C130">
        <v>93</v>
      </c>
      <c r="D130">
        <v>129</v>
      </c>
    </row>
    <row r="131" spans="1:4" x14ac:dyDescent="0.2">
      <c r="A131" s="10" t="s">
        <v>48</v>
      </c>
      <c r="B131" s="10">
        <f>VLOOKUP(przech_odp_gry_regularne[[#This Row],[Gry regularne]],gry_regularne[],2)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VLOOKUP(przech_odp_gry_regularne[[#This Row],[Gry regularne]],gry_regularne[],2)</f>
        <v>17</v>
      </c>
      <c r="C132">
        <v>94</v>
      </c>
      <c r="D132">
        <v>131</v>
      </c>
    </row>
    <row r="133" spans="1:4" x14ac:dyDescent="0.2">
      <c r="A133" s="10" t="s">
        <v>53</v>
      </c>
      <c r="B133" s="10">
        <f>VLOOKUP(przech_odp_gry_regularne[[#This Row],[Gry regularne]],gry_regularne[],2)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VLOOKUP(przech_odp_gry_regularne[[#This Row],[Gry regularne]],gry_regularne[],2)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VLOOKUP(przech_odp_gry_regularne[[#This Row],[Gry regularne]],gry_regularne[],2)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VLOOKUP(przech_odp_gry_regularne[[#This Row],[Gry regularne]],gry_regularne[],2)</f>
        <v>17</v>
      </c>
      <c r="C136">
        <v>98</v>
      </c>
      <c r="D136">
        <v>135</v>
      </c>
    </row>
    <row r="137" spans="1:4" x14ac:dyDescent="0.2">
      <c r="A137" s="10" t="s">
        <v>95</v>
      </c>
      <c r="B137" s="10">
        <f>VLOOKUP(przech_odp_gry_regularne[[#This Row],[Gry regularne]],gry_regularne[],2)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VLOOKUP(przech_odp_gry_regularne[[#This Row],[Gry regularne]],gry_regularne[],2)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VLOOKUP(przech_odp_gry_regularne[[#This Row],[Gry regularne]],gry_regularne[],2)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VLOOKUP(przech_odp_gry_regularne[[#This Row],[Gry regularne]],gry_regularne[],2)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VLOOKUP(przech_odp_gry_regularne[[#This Row],[Gry regularne]],gry_regularne[],2)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VLOOKUP(przech_odp_gry_regularne[[#This Row],[Gry regularne]],gry_regularne[],2)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VLOOKUP(przech_odp_gry_regularne[[#This Row],[Gry regularne]],gry_regularne[],2)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VLOOKUP(przech_odp_gry_regularne[[#This Row],[Gry regularne]],gry_regularne[],2)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VLOOKUP(przech_odp_gry_regularne[[#This Row],[Gry regularne]],gry_regularne[],2)</f>
        <v>22</v>
      </c>
      <c r="C145">
        <v>105</v>
      </c>
      <c r="D145">
        <v>144</v>
      </c>
    </row>
    <row r="146" spans="1:4" x14ac:dyDescent="0.2">
      <c r="A146" s="10" t="s">
        <v>50</v>
      </c>
      <c r="B146" s="10">
        <f>VLOOKUP(przech_odp_gry_regularne[[#This Row],[Gry regularne]],gry_regularne[],2)</f>
        <v>10</v>
      </c>
      <c r="C146">
        <v>106</v>
      </c>
      <c r="D146">
        <v>145</v>
      </c>
    </row>
    <row r="147" spans="1:4" x14ac:dyDescent="0.2">
      <c r="A147" s="10" t="s">
        <v>65</v>
      </c>
      <c r="B147" s="10">
        <f>VLOOKUP(przech_odp_gry_regularne[[#This Row],[Gry regularne]],gry_regularne[],2)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VLOOKUP(przech_odp_gry_regularne[[#This Row],[Gry regularne]],gry_regularne[],2)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VLOOKUP(przech_odp_gry_regularne[[#This Row],[Gry regularne]],gry_regularne[],2)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VLOOKUP(przech_odp_gry_regularne[[#This Row],[Gry regularne]],gry_regularne[],2)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VLOOKUP(przech_odp_gry_regularne[[#This Row],[Gry regularne]],gry_regularne[],2)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VLOOKUP(przech_odp_gry_regularne[[#This Row],[Gry regularne]],gry_regularne[],2)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VLOOKUP(przech_odp_gry_regularne[[#This Row],[Gry regularne]],gry_regularne[],2)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VLOOKUP(przech_odp_gry_regularne[[#This Row],[Gry regularne]],gry_regularne[],2)</f>
        <v>14</v>
      </c>
      <c r="C154">
        <v>112</v>
      </c>
      <c r="D154">
        <v>153</v>
      </c>
    </row>
    <row r="155" spans="1:4" x14ac:dyDescent="0.2">
      <c r="A155" s="10" t="s">
        <v>48</v>
      </c>
      <c r="B155" s="10">
        <f>VLOOKUP(przech_odp_gry_regularne[[#This Row],[Gry regularne]],gry_regularne[],2)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VLOOKUP(przech_odp_gry_regularne[[#This Row],[Gry regularne]],gry_regularne[],2)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VLOOKUP(przech_odp_gry_regularne[[#This Row],[Gry regularne]],gry_regularne[],2)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VLOOKUP(przech_odp_gry_regularne[[#This Row],[Gry regularne]],gry_regularne[],2)</f>
        <v>4</v>
      </c>
      <c r="C158">
        <v>114</v>
      </c>
      <c r="D158">
        <v>157</v>
      </c>
    </row>
    <row r="159" spans="1:4" x14ac:dyDescent="0.2">
      <c r="A159" s="10" t="s">
        <v>169</v>
      </c>
      <c r="B159" s="10">
        <f>VLOOKUP(przech_odp_gry_regularne[[#This Row],[Gry regularne]],gry_regularne[],2)</f>
        <v>11</v>
      </c>
      <c r="C159">
        <v>114</v>
      </c>
      <c r="D159">
        <v>158</v>
      </c>
    </row>
    <row r="160" spans="1:4" x14ac:dyDescent="0.2">
      <c r="A160" s="10" t="s">
        <v>187</v>
      </c>
      <c r="B160" s="10">
        <f>VLOOKUP(przech_odp_gry_regularne[[#This Row],[Gry regularne]],gry_regularne[],2)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VLOOKUP(przech_odp_gry_regularne[[#This Row],[Gry regularne]],gry_regularne[],2)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VLOOKUP(przech_odp_gry_regularne[[#This Row],[Gry regularne]],gry_regularne[],2)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VLOOKUP(przech_odp_gry_regularne[[#This Row],[Gry regularne]],gry_regularne[],2)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VLOOKUP(przech_odp_gry_regularne[[#This Row],[Gry regularne]],gry_regularne[],2)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VLOOKUP(przech_odp_gry_regularne[[#This Row],[Gry regularne]],gry_regularne[],2)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VLOOKUP(przech_odp_gry_regularne[[#This Row],[Gry regularne]],gry_regularne[],2)</f>
        <v>7</v>
      </c>
      <c r="C166">
        <v>116</v>
      </c>
      <c r="D166">
        <v>165</v>
      </c>
    </row>
    <row r="167" spans="1:4" x14ac:dyDescent="0.2">
      <c r="A167" s="10" t="s">
        <v>183</v>
      </c>
      <c r="B167" s="10">
        <f>VLOOKUP(przech_odp_gry_regularne[[#This Row],[Gry regularne]],gry_regularne[],2)</f>
        <v>6</v>
      </c>
      <c r="C167">
        <v>116</v>
      </c>
      <c r="D167">
        <v>166</v>
      </c>
    </row>
    <row r="168" spans="1:4" x14ac:dyDescent="0.2">
      <c r="A168" s="10" t="s">
        <v>48</v>
      </c>
      <c r="B168" s="10">
        <f>VLOOKUP(przech_odp_gry_regularne[[#This Row],[Gry regularne]],gry_regularne[],2)</f>
        <v>9</v>
      </c>
      <c r="C168">
        <v>117</v>
      </c>
      <c r="D168">
        <v>167</v>
      </c>
    </row>
    <row r="169" spans="1:4" x14ac:dyDescent="0.2">
      <c r="A169" s="10" t="s">
        <v>170</v>
      </c>
      <c r="B169" s="10">
        <f>VLOOKUP(przech_odp_gry_regularne[[#This Row],[Gry regularne]],gry_regularne[],2)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VLOOKUP(przech_odp_gry_regularne[[#This Row],[Gry regularne]],gry_regularne[],2)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VLOOKUP(przech_odp_gry_regularne[[#This Row],[Gry regularne]],gry_regularne[],2)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VLOOKUP(przech_odp_gry_regularne[[#This Row],[Gry regularne]],gry_regularne[],2)</f>
        <v>21</v>
      </c>
      <c r="C172">
        <v>120</v>
      </c>
      <c r="D172">
        <v>171</v>
      </c>
    </row>
    <row r="173" spans="1:4" x14ac:dyDescent="0.2">
      <c r="A173" s="10" t="s">
        <v>48</v>
      </c>
      <c r="B173" s="10">
        <f>VLOOKUP(przech_odp_gry_regularne[[#This Row],[Gry regularne]],gry_regularne[],2)</f>
        <v>9</v>
      </c>
      <c r="C173">
        <v>121</v>
      </c>
      <c r="D173">
        <v>172</v>
      </c>
    </row>
    <row r="174" spans="1:4" x14ac:dyDescent="0.2">
      <c r="A174" s="10" t="s">
        <v>171</v>
      </c>
      <c r="B174" s="10">
        <f>VLOOKUP(przech_odp_gry_regularne[[#This Row],[Gry regularne]],gry_regularne[],2)</f>
        <v>8</v>
      </c>
      <c r="C174">
        <v>121</v>
      </c>
      <c r="D174">
        <v>173</v>
      </c>
    </row>
    <row r="175" spans="1:4" x14ac:dyDescent="0.2">
      <c r="A175" s="10" t="s">
        <v>172</v>
      </c>
      <c r="B175" s="10">
        <f>VLOOKUP(przech_odp_gry_regularne[[#This Row],[Gry regularne]],gry_regularne[],2)</f>
        <v>20</v>
      </c>
      <c r="C175">
        <v>121</v>
      </c>
      <c r="D175">
        <v>174</v>
      </c>
    </row>
    <row r="176" spans="1:4" x14ac:dyDescent="0.2">
      <c r="A176" s="10" t="s">
        <v>53</v>
      </c>
      <c r="B176" s="10">
        <f>VLOOKUP(przech_odp_gry_regularne[[#This Row],[Gry regularne]],gry_regularne[],2)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VLOOKUP(przech_odp_gry_regularne[[#This Row],[Gry regularne]],gry_regularne[],2)</f>
        <v>17</v>
      </c>
      <c r="C177">
        <v>123</v>
      </c>
      <c r="D177">
        <v>176</v>
      </c>
    </row>
    <row r="178" spans="1:4" x14ac:dyDescent="0.2">
      <c r="A178" s="10" t="s">
        <v>81</v>
      </c>
      <c r="B178" s="10">
        <f>VLOOKUP(przech_odp_gry_regularne[[#This Row],[Gry regularne]],gry_regularne[],2)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VLOOKUP(przech_odp_gry_regularne[[#This Row],[Gry regularne]],gry_regularne[],2)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VLOOKUP(przech_odp_gry_regularne[[#This Row],[Gry regularne]],gry_regularne[],2)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VLOOKUP(przech_odp_gry_regularne[[#This Row],[Gry regularne]],gry_regularne[],2)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VLOOKUP(przech_odp_gry_regularne[[#This Row],[Gry regularne]],gry_regularne[],2)</f>
        <v>4</v>
      </c>
      <c r="C182">
        <v>126</v>
      </c>
      <c r="D182">
        <v>181</v>
      </c>
    </row>
    <row r="183" spans="1:4" x14ac:dyDescent="0.2">
      <c r="A183" s="10" t="s">
        <v>111</v>
      </c>
      <c r="B183" s="10">
        <f>VLOOKUP(przech_odp_gry_regularne[[#This Row],[Gry regularne]],gry_regularne[],2)</f>
        <v>3</v>
      </c>
      <c r="C183">
        <v>126</v>
      </c>
      <c r="D183">
        <v>182</v>
      </c>
    </row>
    <row r="184" spans="1:4" x14ac:dyDescent="0.2">
      <c r="A184" s="10" t="s">
        <v>168</v>
      </c>
      <c r="B184" s="10">
        <f>VLOOKUP(przech_odp_gry_regularne[[#This Row],[Gry regularne]],gry_regularne[],2)</f>
        <v>2</v>
      </c>
      <c r="C184">
        <v>126</v>
      </c>
      <c r="D184">
        <v>183</v>
      </c>
    </row>
    <row r="185" spans="1:4" x14ac:dyDescent="0.2">
      <c r="A185" s="10" t="s">
        <v>48</v>
      </c>
      <c r="B185" s="10">
        <f>VLOOKUP(przech_odp_gry_regularne[[#This Row],[Gry regularne]],gry_regularne[],2)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VLOOKUP(przech_odp_gry_regularne[[#This Row],[Gry regularne]],gry_regularne[],2)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VLOOKUP(przech_odp_gry_regularne[[#This Row],[Gry regularne]],gry_regularne[],2)</f>
        <v>4</v>
      </c>
      <c r="C187">
        <v>128</v>
      </c>
      <c r="D187">
        <v>186</v>
      </c>
    </row>
    <row r="188" spans="1:4" x14ac:dyDescent="0.2">
      <c r="A188" s="10" t="s">
        <v>118</v>
      </c>
      <c r="B188" s="10">
        <f>VLOOKUP(przech_odp_gry_regularne[[#This Row],[Gry regularne]],gry_regularne[],2)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VLOOKUP(przech_odp_gry_regularne[[#This Row],[Gry regularne]],gry_regularne[],2)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VLOOKUP(przech_odp_gry_regularne[[#This Row],[Gry regularne]],gry_regularne[],2)</f>
        <v>14</v>
      </c>
      <c r="C190">
        <v>129</v>
      </c>
      <c r="D190">
        <v>189</v>
      </c>
    </row>
    <row r="191" spans="1:4" x14ac:dyDescent="0.2">
      <c r="A191" s="10" t="s">
        <v>173</v>
      </c>
      <c r="B191" s="10">
        <f>VLOOKUP(przech_odp_gry_regularne[[#This Row],[Gry regularne]],gry_regularne[],2)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VLOOKUP(przech_odp_gry_regularne[[#This Row],[Gry regularne]],gry_regularne[],2)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VLOOKUP(przech_odp_gry_regularne[[#This Row],[Gry regularne]],gry_regularne[],2)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VLOOKUP(przech_odp_gry_regularne[[#This Row],[Gry regularne]],gry_regularne[],2)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VLOOKUP(przech_odp_gry_regularne[[#This Row],[Gry regularne]],gry_regularne[],2)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VLOOKUP(przech_odp_gry_regularne[[#This Row],[Gry regularne]],gry_regularne[],2)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VLOOKUP(przech_odp_gry_regularne[[#This Row],[Gry regularne]],gry_regularne[],2)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VLOOKUP(przech_odp_gry_regularne[[#This Row],[Gry regularne]],gry_regularne[],2)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VLOOKUP(przech_odp_gry_regularne[[#This Row],[Gry regularne]],gry_regularne[],2)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VLOOKUP(przech_odp_gry_regularne[[#This Row],[Gry regularne]],gry_regularne[],2)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VLOOKUP(przech_odp_gry_regularne[[#This Row],[Gry regularne]],gry_regularne[],2)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VLOOKUP(przech_odp_gry_regularne[[#This Row],[Gry regularne]],gry_regularne[],2)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VLOOKUP(przech_odp_gry_regularne[[#This Row],[Gry regularne]],gry_regularne[],2)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VLOOKUP(przech_odp_gry_regularne[[#This Row],[Gry regularne]],gry_regularne[],2)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VLOOKUP(przech_odp_gry_regularne[[#This Row],[Gry regularne]],gry_regularne[],2)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VLOOKUP(przech_odp_gry_regularne[[#This Row],[Gry regularne]],gry_regularne[],2)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VLOOKUP(przech_odp_gry_regularne[[#This Row],[Gry regularne]],gry_regularne[],2)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VLOOKUP(przech_odp_gry_regularne[[#This Row],[Gry regularne]],gry_regularne[],2)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VLOOKUP(przech_odp_gry_regularne[[#This Row],[Gry regularne]],gry_regularne[],2)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VLOOKUP(przech_odp_gry_regularne[[#This Row],[Gry regularne]],gry_regularne[],2)</f>
        <v>4</v>
      </c>
      <c r="C210">
        <v>142</v>
      </c>
      <c r="D210">
        <v>209</v>
      </c>
    </row>
    <row r="211" spans="1:4" x14ac:dyDescent="0.2">
      <c r="A211" s="10" t="s">
        <v>65</v>
      </c>
      <c r="B211" s="10">
        <f>VLOOKUP(przech_odp_gry_regularne[[#This Row],[Gry regularne]],gry_regularne[],2)</f>
        <v>26</v>
      </c>
      <c r="C211">
        <v>142</v>
      </c>
      <c r="D211">
        <v>210</v>
      </c>
    </row>
    <row r="212" spans="1:4" x14ac:dyDescent="0.2">
      <c r="A212" s="10" t="s">
        <v>65</v>
      </c>
      <c r="B212" s="10">
        <f>VLOOKUP(przech_odp_gry_regularne[[#This Row],[Gry regularne]],gry_regularne[],2)</f>
        <v>26</v>
      </c>
      <c r="C212">
        <v>143</v>
      </c>
      <c r="D212">
        <v>211</v>
      </c>
    </row>
    <row r="213" spans="1:4" x14ac:dyDescent="0.2">
      <c r="A213" s="10" t="s">
        <v>170</v>
      </c>
      <c r="B213" s="10">
        <f>VLOOKUP(przech_odp_gry_regularne[[#This Row],[Gry regularne]],gry_regularne[],2)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VLOOKUP(przech_odp_gry_regularne[[#This Row],[Gry regularne]],gry_regularne[],2)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VLOOKUP(przech_odp_gry_regularne[[#This Row],[Gry regularne]],gry_regularne[],2)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VLOOKUP(przech_odp_gry_regularne[[#This Row],[Gry regularne]],gry_regularne[],2)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VLOOKUP(przech_odp_gry_regularne[[#This Row],[Gry regularne]],gry_regularne[],2)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VLOOKUP(przech_odp_gry_regularne[[#This Row],[Gry regularne]],gry_regularne[],2)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VLOOKUP(przech_odp_gry_regularne[[#This Row],[Gry regularne]],gry_regularne[],2)</f>
        <v>22</v>
      </c>
      <c r="C219">
        <v>148</v>
      </c>
      <c r="D219">
        <v>218</v>
      </c>
    </row>
    <row r="220" spans="1:4" x14ac:dyDescent="0.2">
      <c r="A220" s="10" t="s">
        <v>111</v>
      </c>
      <c r="B220" s="10">
        <f>VLOOKUP(przech_odp_gry_regularne[[#This Row],[Gry regularne]],gry_regularne[],2)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VLOOKUP(przech_odp_gry_regularne[[#This Row],[Gry regularne]],gry_regularne[],2)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VLOOKUP(przech_odp_gry_regularne[[#This Row],[Gry regularne]],gry_regularne[],2)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VLOOKUP(przech_odp_gry_regularne[[#This Row],[Gry regularne]],gry_regularne[],2)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VLOOKUP(przech_odp_gry_regularne[[#This Row],[Gry regularne]],gry_regularne[],2)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VLOOKUP(przech_odp_gry_regularne[[#This Row],[Gry regularne]],gry_regularne[],2)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VLOOKUP(przech_odp_gry_regularne[[#This Row],[Gry regularne]],gry_regularne[],2)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VLOOKUP(przech_odp_gry_regularne[[#This Row],[Gry regularne]],gry_regularne[],2)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VLOOKUP(przech_odp_gry_regularne[[#This Row],[Gry regularne]],gry_regularne[],2)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VLOOKUP(przech_odp_gry_regularne[[#This Row],[Gry regularne]],gry_regularne[],2)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VLOOKUP(przech_odp_gry_regularne[[#This Row],[Gry regularne]],gry_regularne[],2)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VLOOKUP(przech_odp_gry_regularne[[#This Row],[Gry regularne]],gry_regularne[],2)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VLOOKUP(przech_odp_gry_regularne[[#This Row],[Gry regularne]],gry_regularne[],2)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VLOOKUP(przech_odp_gry_regularne[[#This Row],[Gry regularne]],gry_regularne[],2)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VLOOKUP(przech_odp_gry_regularne[[#This Row],[Gry regularne]],gry_regularne[],2)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VLOOKUP(przech_odp_gry_regularne[[#This Row],[Gry regularne]],gry_regularne[],2)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VLOOKUP(przech_odp_gry_regularne[[#This Row],[Gry regularne]],gry_regularne[],2)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VLOOKUP(przech_odp_gry_regularne[[#This Row],[Gry regularne]],gry_regularne[],2)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VLOOKUP(przech_odp_gry_regularne[[#This Row],[Gry regularne]],gry_regularne[],2)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VLOOKUP(przech_odp_gry_regularne[[#This Row],[Gry regularne]],gry_regularne[],2)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VLOOKUP(przech_odp_gry_regularne[[#This Row],[Gry regularne]],gry_regularne[],2)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VLOOKUP(przech_odp_gry_regularne[[#This Row],[Gry regularne]],gry_regularne[],2)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VLOOKUP(przech_odp_gry_regularne[[#This Row],[Gry regularne]],gry_regularne[],2)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VLOOKUP(przech_odp_gry_regularne[[#This Row],[Gry regularne]],gry_regularne[],2)</f>
        <v>14</v>
      </c>
      <c r="C243">
        <v>169</v>
      </c>
      <c r="D243">
        <v>242</v>
      </c>
    </row>
    <row r="244" spans="1:4" x14ac:dyDescent="0.2">
      <c r="A244" s="10" t="s">
        <v>168</v>
      </c>
      <c r="B244" s="10">
        <f>VLOOKUP(przech_odp_gry_regularne[[#This Row],[Gry regularne]],gry_regularne[],2)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VLOOKUP(przech_odp_gry_regularne[[#This Row],[Gry regularne]],gry_regularne[],2)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VLOOKUP(przech_odp_gry_regularne[[#This Row],[Gry regularne]],gry_regularne[],2)</f>
        <v>14</v>
      </c>
      <c r="C246">
        <v>170</v>
      </c>
      <c r="D246">
        <v>245</v>
      </c>
    </row>
    <row r="247" spans="1:4" x14ac:dyDescent="0.2">
      <c r="A247" s="10" t="s">
        <v>53</v>
      </c>
      <c r="B247" s="10">
        <f>VLOOKUP(przech_odp_gry_regularne[[#This Row],[Gry regularne]],gry_regularne[],2)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VLOOKUP(przech_odp_gry_regularne[[#This Row],[Gry regularne]],gry_regularne[],2)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VLOOKUP(przech_odp_gry_regularne[[#This Row],[Gry regularne]],gry_regularne[],2)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VLOOKUP(przech_odp_gry_regularne[[#This Row],[Gry regularne]],gry_regularne[],2)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VLOOKUP(przech_odp_gry_regularne[[#This Row],[Gry regularne]],gry_regularne[],2)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VLOOKUP(przech_odp_gry_regularne[[#This Row],[Gry regularne]],gry_regularne[],2)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VLOOKUP(przech_odp_gry_regularne[[#This Row],[Gry regularne]],gry_regularne[],2)</f>
        <v>21</v>
      </c>
      <c r="C253">
        <v>175</v>
      </c>
      <c r="D253">
        <v>252</v>
      </c>
    </row>
    <row r="254" spans="1:4" x14ac:dyDescent="0.2">
      <c r="A254" s="10" t="s">
        <v>45</v>
      </c>
      <c r="B254" s="10">
        <f>VLOOKUP(przech_odp_gry_regularne[[#This Row],[Gry regularne]],gry_regularne[],2)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VLOOKUP(przech_odp_gry_regularne[[#This Row],[Gry regularne]],gry_regularne[],2)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VLOOKUP(przech_odp_gry_regularne[[#This Row],[Gry regularne]],gry_regularne[],2)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VLOOKUP(przech_odp_gry_regularne[[#This Row],[Gry regularne]],gry_regularne[],2)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VLOOKUP(przech_odp_gry_regularne[[#This Row],[Gry regularne]],gry_regularne[],2)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VLOOKUP(przech_odp_gry_regularne[[#This Row],[Gry regularne]],gry_regularne[],2)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VLOOKUP(przech_odp_gry_regularne[[#This Row],[Gry regularne]],gry_regularne[],2)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VLOOKUP(przech_odp_gry_regularne[[#This Row],[Gry regularne]],gry_regularne[],2)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VLOOKUP(przech_odp_gry_regularne[[#This Row],[Gry regularne]],gry_regularne[],2)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VLOOKUP(przech_odp_gry_regularne[[#This Row],[Gry regularne]],gry_regularne[],2)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VLOOKUP(przech_odp_gry_regularne[[#This Row],[Gry regularne]],gry_regularne[],2)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VLOOKUP(przech_odp_gry_regularne[[#This Row],[Gry regularne]],gry_regularne[],2)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VLOOKUP(przech_odp_gry_regularne[[#This Row],[Gry regularne]],gry_regularne[],2)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VLOOKUP(przech_odp_gry_regularne[[#This Row],[Gry regularne]],gry_regularne[],2)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VLOOKUP(przech_odp_gry_regularne[[#This Row],[Gry regularne]],gry_regularne[],2)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VLOOKUP(przech_odp_gry_regularne[[#This Row],[Gry regularne]],gry_regularne[],2)</f>
        <v>21</v>
      </c>
      <c r="C269">
        <v>190</v>
      </c>
      <c r="D269">
        <v>268</v>
      </c>
    </row>
    <row r="270" spans="1:4" x14ac:dyDescent="0.2">
      <c r="A270" s="10" t="s">
        <v>38</v>
      </c>
      <c r="B270" s="10">
        <f>VLOOKUP(przech_odp_gry_regularne[[#This Row],[Gry regularne]],gry_regularne[],2)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VLOOKUP(przech_odp_gry_regularne[[#This Row],[Gry regularne]],gry_regularne[],2)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VLOOKUP(przech_odp_gry_regularne[[#This Row],[Gry regularne]],gry_regularne[],2)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VLOOKUP(przech_odp_gry_regularne[[#This Row],[Gry regularne]],gry_regularne[],2)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VLOOKUP(przech_odp_gry_regularne[[#This Row],[Gry regularne]],gry_regularne[],2)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VLOOKUP(przech_odp_gry_regularne[[#This Row],[Gry regularne]],gry_regularne[],2)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VLOOKUP(przech_odp_gry_regularne[[#This Row],[Gry regularne]],gry_regularne[],2)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VLOOKUP(przech_odp_gry_regularne[[#This Row],[Gry regularne]],gry_regularne[],2)</f>
        <v>17</v>
      </c>
      <c r="C277">
        <v>196</v>
      </c>
      <c r="D277">
        <v>276</v>
      </c>
    </row>
    <row r="278" spans="1:4" x14ac:dyDescent="0.2">
      <c r="A278" s="10" t="s">
        <v>75</v>
      </c>
      <c r="B278" s="10">
        <f>VLOOKUP(przech_odp_gry_regularne[[#This Row],[Gry regularne]],gry_regularne[],2)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VLOOKUP(przech_odp_gry_regularne[[#This Row],[Gry regularne]],gry_regularne[],2)</f>
        <v>4</v>
      </c>
      <c r="C279">
        <v>198</v>
      </c>
      <c r="D279">
        <v>278</v>
      </c>
    </row>
    <row r="280" spans="1:4" x14ac:dyDescent="0.2">
      <c r="A280" s="10" t="s">
        <v>53</v>
      </c>
      <c r="B280" s="10">
        <f>VLOOKUP(przech_odp_gry_regularne[[#This Row],[Gry regularne]],gry_regularne[],2)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VLOOKUP(przech_odp_gry_regularne[[#This Row],[Gry regularne]],gry_regularne[],2)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tabSelected="1" workbookViewId="0">
      <selection activeCell="F9" sqref="F9"/>
    </sheetView>
  </sheetViews>
  <sheetFormatPr defaultRowHeight="12.75" x14ac:dyDescent="0.2"/>
  <cols>
    <col min="1" max="1" width="9.42578125" bestFit="1" customWidth="1"/>
    <col min="2" max="2" width="9.85546875" bestFit="1" customWidth="1"/>
    <col min="3" max="3" width="12.85546875" bestFit="1" customWidth="1"/>
    <col min="4" max="4" width="10.5703125" bestFit="1" customWidth="1"/>
    <col min="5" max="5" width="13" bestFit="1" customWidth="1"/>
    <col min="6" max="6" width="7.5703125" bestFit="1" customWidth="1"/>
    <col min="7" max="7" width="62.140625" bestFit="1" customWidth="1"/>
    <col min="8" max="8" width="11.28515625" bestFit="1" customWidth="1"/>
    <col min="9" max="9" width="62.140625" bestFit="1" customWidth="1"/>
    <col min="10" max="10" width="13" bestFit="1" customWidth="1"/>
    <col min="11" max="12" width="17" bestFit="1" customWidth="1"/>
  </cols>
  <sheetData>
    <row r="1" spans="1:8" x14ac:dyDescent="0.2">
      <c r="A1" t="s">
        <v>199</v>
      </c>
      <c r="B1" s="11" t="s">
        <v>197</v>
      </c>
      <c r="C1" t="s">
        <v>205</v>
      </c>
      <c r="D1" t="s">
        <v>1</v>
      </c>
      <c r="E1" s="11" t="s">
        <v>198</v>
      </c>
      <c r="F1" t="s">
        <v>206</v>
      </c>
      <c r="G1" t="s">
        <v>3</v>
      </c>
      <c r="H1" t="s">
        <v>207</v>
      </c>
    </row>
    <row r="2" spans="1:8" x14ac:dyDescent="0.2">
      <c r="A2">
        <v>1</v>
      </c>
      <c r="B2" s="10">
        <f>VLOOKUP(odpowiedzi[[#This Row],[Płeć]],plec[],2)</f>
        <v>2</v>
      </c>
      <c r="C2">
        <v>0</v>
      </c>
      <c r="D2" s="10" t="s">
        <v>8</v>
      </c>
      <c r="E2">
        <f>VLOOKUP(odpowiedzi[[#This Row],[Wydział]],wydzial[],2)</f>
        <v>11</v>
      </c>
      <c r="F2">
        <v>18</v>
      </c>
      <c r="G2" s="10" t="s">
        <v>160</v>
      </c>
      <c r="H2">
        <v>0</v>
      </c>
    </row>
    <row r="3" spans="1:8" x14ac:dyDescent="0.2">
      <c r="A3">
        <v>2</v>
      </c>
      <c r="B3" s="10">
        <f>VLOOKUP(odpowiedzi[[#This Row],[Płeć]],plec[],2)</f>
        <v>2</v>
      </c>
      <c r="C3">
        <v>1</v>
      </c>
      <c r="D3" s="10" t="s">
        <v>8</v>
      </c>
      <c r="E3">
        <f>VLOOKUP(odpowiedzi[[#This Row],[Wydział]],wydzial[],2)</f>
        <v>19</v>
      </c>
      <c r="F3">
        <v>18</v>
      </c>
      <c r="G3" s="10" t="s">
        <v>141</v>
      </c>
      <c r="H3">
        <v>0</v>
      </c>
    </row>
    <row r="4" spans="1:8" x14ac:dyDescent="0.2">
      <c r="A4">
        <v>3</v>
      </c>
      <c r="B4" s="10">
        <f>VLOOKUP(odpowiedzi[[#This Row],[Płeć]],plec[],2)</f>
        <v>2</v>
      </c>
      <c r="C4">
        <v>1</v>
      </c>
      <c r="D4" s="10" t="s">
        <v>8</v>
      </c>
      <c r="E4">
        <f>VLOOKUP(odpowiedzi[[#This Row],[Wydział]],wydzial[],2)</f>
        <v>6</v>
      </c>
      <c r="F4">
        <v>19</v>
      </c>
      <c r="G4" s="10" t="s">
        <v>162</v>
      </c>
      <c r="H4">
        <v>0</v>
      </c>
    </row>
    <row r="5" spans="1:8" x14ac:dyDescent="0.2">
      <c r="A5">
        <v>4</v>
      </c>
      <c r="B5" s="10">
        <f>VLOOKUP(odpowiedzi[[#This Row],[Płeć]],plec[],2)</f>
        <v>2</v>
      </c>
      <c r="C5">
        <v>0</v>
      </c>
      <c r="D5" s="10" t="s">
        <v>8</v>
      </c>
      <c r="E5">
        <f>VLOOKUP(odpowiedzi[[#This Row],[Wydział]],wydzial[],2)</f>
        <v>7</v>
      </c>
      <c r="F5">
        <v>19</v>
      </c>
      <c r="G5" s="10" t="s">
        <v>51</v>
      </c>
      <c r="H5">
        <v>0</v>
      </c>
    </row>
    <row r="6" spans="1:8" x14ac:dyDescent="0.2">
      <c r="A6">
        <v>5</v>
      </c>
      <c r="B6" s="10">
        <f>VLOOKUP(odpowiedzi[[#This Row],[Płeć]],plec[],2)</f>
        <v>2</v>
      </c>
      <c r="C6">
        <v>1</v>
      </c>
      <c r="D6" s="10" t="s">
        <v>8</v>
      </c>
      <c r="E6">
        <f>VLOOKUP(odpowiedzi[[#This Row],[Wydział]],wydzial[],2)</f>
        <v>12</v>
      </c>
      <c r="F6">
        <v>19</v>
      </c>
      <c r="G6" s="10" t="s">
        <v>161</v>
      </c>
      <c r="H6">
        <v>1</v>
      </c>
    </row>
    <row r="7" spans="1:8" x14ac:dyDescent="0.2">
      <c r="A7">
        <v>6</v>
      </c>
      <c r="B7" s="10">
        <f>VLOOKUP(odpowiedzi[[#This Row],[Płeć]],plec[],2)</f>
        <v>2</v>
      </c>
      <c r="C7">
        <v>1</v>
      </c>
      <c r="D7" s="10" t="s">
        <v>8</v>
      </c>
      <c r="E7">
        <f>VLOOKUP(odpowiedzi[[#This Row],[Wydział]],wydzial[],2)</f>
        <v>19</v>
      </c>
      <c r="F7">
        <v>19</v>
      </c>
      <c r="G7" s="10" t="s">
        <v>141</v>
      </c>
      <c r="H7">
        <v>0</v>
      </c>
    </row>
    <row r="8" spans="1:8" x14ac:dyDescent="0.2">
      <c r="A8">
        <v>7</v>
      </c>
      <c r="B8" s="10">
        <f>VLOOKUP(odpowiedzi[[#This Row],[Płeć]],plec[],2)</f>
        <v>2</v>
      </c>
      <c r="C8">
        <v>1</v>
      </c>
      <c r="D8" s="10" t="s">
        <v>8</v>
      </c>
      <c r="E8">
        <f>VLOOKUP(odpowiedzi[[#This Row],[Wydział]],wydzial[],2)</f>
        <v>19</v>
      </c>
      <c r="F8">
        <v>19</v>
      </c>
      <c r="G8" s="10" t="s">
        <v>141</v>
      </c>
      <c r="H8">
        <v>1</v>
      </c>
    </row>
    <row r="9" spans="1:8" x14ac:dyDescent="0.2">
      <c r="A9">
        <v>8</v>
      </c>
      <c r="B9" s="10">
        <f>VLOOKUP(odpowiedzi[[#This Row],[Płeć]],plec[],2)</f>
        <v>2</v>
      </c>
      <c r="C9">
        <v>1</v>
      </c>
      <c r="D9" s="10" t="s">
        <v>8</v>
      </c>
      <c r="E9">
        <f>VLOOKUP(odpowiedzi[[#This Row],[Wydział]],wydzial[],2)</f>
        <v>19</v>
      </c>
      <c r="F9">
        <v>19</v>
      </c>
      <c r="G9" s="10" t="s">
        <v>141</v>
      </c>
      <c r="H9">
        <v>0</v>
      </c>
    </row>
    <row r="10" spans="1:8" x14ac:dyDescent="0.2">
      <c r="A10">
        <v>9</v>
      </c>
      <c r="B10" s="10">
        <f>VLOOKUP(odpowiedzi[[#This Row],[Płeć]],plec[],2)</f>
        <v>2</v>
      </c>
      <c r="C10">
        <v>1</v>
      </c>
      <c r="D10" s="10" t="s">
        <v>8</v>
      </c>
      <c r="E10">
        <f>VLOOKUP(odpowiedzi[[#This Row],[Wydział]],wydzial[],2)</f>
        <v>19</v>
      </c>
      <c r="F10">
        <v>19</v>
      </c>
      <c r="G10" s="10" t="s">
        <v>141</v>
      </c>
      <c r="H10">
        <v>0</v>
      </c>
    </row>
    <row r="11" spans="1:8" x14ac:dyDescent="0.2">
      <c r="A11">
        <v>10</v>
      </c>
      <c r="B11" s="10">
        <f>VLOOKUP(odpowiedzi[[#This Row],[Płeć]],plec[],2)</f>
        <v>2</v>
      </c>
      <c r="C11">
        <v>1</v>
      </c>
      <c r="D11" s="10" t="s">
        <v>8</v>
      </c>
      <c r="E11">
        <f>VLOOKUP(odpowiedzi[[#This Row],[Wydział]],wydzial[],2)</f>
        <v>19</v>
      </c>
      <c r="F11">
        <v>19</v>
      </c>
      <c r="G11" s="10" t="s">
        <v>141</v>
      </c>
      <c r="H11">
        <v>0</v>
      </c>
    </row>
    <row r="12" spans="1:8" x14ac:dyDescent="0.2">
      <c r="A12">
        <v>11</v>
      </c>
      <c r="B12" s="10">
        <f>VLOOKUP(odpowiedzi[[#This Row],[Płeć]],plec[],2)</f>
        <v>2</v>
      </c>
      <c r="C12">
        <v>1</v>
      </c>
      <c r="D12" s="10" t="s">
        <v>8</v>
      </c>
      <c r="E12">
        <f>VLOOKUP(odpowiedzi[[#This Row],[Wydział]],wydzial[],2)</f>
        <v>19</v>
      </c>
      <c r="F12">
        <v>19</v>
      </c>
      <c r="G12" s="10" t="s">
        <v>141</v>
      </c>
      <c r="H12">
        <v>1</v>
      </c>
    </row>
    <row r="13" spans="1:8" x14ac:dyDescent="0.2">
      <c r="A13">
        <v>12</v>
      </c>
      <c r="B13" s="10">
        <f>VLOOKUP(odpowiedzi[[#This Row],[Płeć]],plec[],2)</f>
        <v>2</v>
      </c>
      <c r="C13">
        <v>0</v>
      </c>
      <c r="D13" s="10" t="s">
        <v>8</v>
      </c>
      <c r="E13">
        <f>VLOOKUP(odpowiedzi[[#This Row],[Wydział]],wydzial[],2)</f>
        <v>19</v>
      </c>
      <c r="F13">
        <v>19</v>
      </c>
      <c r="G13" s="10" t="s">
        <v>141</v>
      </c>
      <c r="H13">
        <v>1</v>
      </c>
    </row>
    <row r="14" spans="1:8" x14ac:dyDescent="0.2">
      <c r="A14">
        <v>13</v>
      </c>
      <c r="B14" s="10">
        <f>VLOOKUP(odpowiedzi[[#This Row],[Płeć]],plec[],2)</f>
        <v>2</v>
      </c>
      <c r="C14">
        <v>1</v>
      </c>
      <c r="D14" s="10" t="s">
        <v>8</v>
      </c>
      <c r="E14">
        <f>VLOOKUP(odpowiedzi[[#This Row],[Wydział]],wydzial[],2)</f>
        <v>19</v>
      </c>
      <c r="F14">
        <v>19</v>
      </c>
      <c r="G14" s="10" t="s">
        <v>141</v>
      </c>
      <c r="H14">
        <v>0</v>
      </c>
    </row>
    <row r="15" spans="1:8" x14ac:dyDescent="0.2">
      <c r="A15">
        <v>14</v>
      </c>
      <c r="B15" s="10">
        <f>VLOOKUP(odpowiedzi[[#This Row],[Płeć]],plec[],2)</f>
        <v>2</v>
      </c>
      <c r="C15">
        <v>1</v>
      </c>
      <c r="D15" s="10" t="s">
        <v>8</v>
      </c>
      <c r="E15">
        <f>VLOOKUP(odpowiedzi[[#This Row],[Wydział]],wydzial[],2)</f>
        <v>19</v>
      </c>
      <c r="F15">
        <v>19</v>
      </c>
      <c r="G15" s="10" t="s">
        <v>141</v>
      </c>
      <c r="H15">
        <v>0</v>
      </c>
    </row>
    <row r="16" spans="1:8" x14ac:dyDescent="0.2">
      <c r="A16">
        <v>15</v>
      </c>
      <c r="B16" s="10">
        <f>VLOOKUP(odpowiedzi[[#This Row],[Płeć]],plec[],2)</f>
        <v>2</v>
      </c>
      <c r="C16">
        <v>0</v>
      </c>
      <c r="D16" s="10" t="s">
        <v>8</v>
      </c>
      <c r="E16">
        <f>VLOOKUP(odpowiedzi[[#This Row],[Wydział]],wydzial[],2)</f>
        <v>20</v>
      </c>
      <c r="F16">
        <v>19</v>
      </c>
      <c r="G16" s="10" t="s">
        <v>153</v>
      </c>
      <c r="H16">
        <v>0</v>
      </c>
    </row>
    <row r="17" spans="1:8" x14ac:dyDescent="0.2">
      <c r="A17">
        <v>16</v>
      </c>
      <c r="B17" s="10">
        <f>VLOOKUP(odpowiedzi[[#This Row],[Płeć]],plec[],2)</f>
        <v>2</v>
      </c>
      <c r="C17">
        <v>1</v>
      </c>
      <c r="D17" s="10" t="s">
        <v>8</v>
      </c>
      <c r="E17">
        <f>VLOOKUP(odpowiedzi[[#This Row],[Wydział]],wydzial[],2)</f>
        <v>20</v>
      </c>
      <c r="F17">
        <v>19</v>
      </c>
      <c r="G17" s="10" t="s">
        <v>153</v>
      </c>
      <c r="H17">
        <v>0</v>
      </c>
    </row>
    <row r="18" spans="1:8" x14ac:dyDescent="0.2">
      <c r="A18">
        <v>17</v>
      </c>
      <c r="B18" s="10">
        <f>VLOOKUP(odpowiedzi[[#This Row],[Płeć]],plec[],2)</f>
        <v>1</v>
      </c>
      <c r="C18">
        <v>0</v>
      </c>
      <c r="D18" s="10" t="s">
        <v>13</v>
      </c>
      <c r="E18">
        <f>VLOOKUP(odpowiedzi[[#This Row],[Wydział]],wydzial[],2)</f>
        <v>22</v>
      </c>
      <c r="F18">
        <v>19</v>
      </c>
      <c r="G18" s="10" t="s">
        <v>69</v>
      </c>
      <c r="H18">
        <v>0</v>
      </c>
    </row>
    <row r="19" spans="1:8" x14ac:dyDescent="0.2">
      <c r="A19">
        <v>18</v>
      </c>
      <c r="B19" s="10">
        <f>VLOOKUP(odpowiedzi[[#This Row],[Płeć]],plec[],2)</f>
        <v>2</v>
      </c>
      <c r="C19">
        <v>1</v>
      </c>
      <c r="D19" s="10" t="s">
        <v>8</v>
      </c>
      <c r="E19">
        <f>VLOOKUP(odpowiedzi[[#This Row],[Wydział]],wydzial[],2)</f>
        <v>22</v>
      </c>
      <c r="F19">
        <v>19</v>
      </c>
      <c r="G19" s="10" t="s">
        <v>69</v>
      </c>
      <c r="H19">
        <v>0</v>
      </c>
    </row>
    <row r="20" spans="1:8" x14ac:dyDescent="0.2">
      <c r="A20">
        <v>19</v>
      </c>
      <c r="B20" s="10">
        <f>VLOOKUP(odpowiedzi[[#This Row],[Płeć]],plec[],2)</f>
        <v>1</v>
      </c>
      <c r="C20">
        <v>0</v>
      </c>
      <c r="D20" s="10" t="s">
        <v>13</v>
      </c>
      <c r="E20">
        <f>VLOOKUP(odpowiedzi[[#This Row],[Wydział]],wydzial[],2)</f>
        <v>26</v>
      </c>
      <c r="F20">
        <v>19</v>
      </c>
      <c r="G20" s="10" t="s">
        <v>62</v>
      </c>
      <c r="H20">
        <v>0</v>
      </c>
    </row>
    <row r="21" spans="1:8" x14ac:dyDescent="0.2">
      <c r="A21">
        <v>20</v>
      </c>
      <c r="B21" s="10">
        <f>VLOOKUP(odpowiedzi[[#This Row],[Płeć]],plec[],2)</f>
        <v>1</v>
      </c>
      <c r="C21">
        <v>0</v>
      </c>
      <c r="D21" s="10" t="s">
        <v>13</v>
      </c>
      <c r="E21">
        <f>VLOOKUP(odpowiedzi[[#This Row],[Wydział]],wydzial[],2)</f>
        <v>26</v>
      </c>
      <c r="F21">
        <v>19</v>
      </c>
      <c r="G21" s="10" t="s">
        <v>62</v>
      </c>
      <c r="H21">
        <v>0</v>
      </c>
    </row>
    <row r="22" spans="1:8" x14ac:dyDescent="0.2">
      <c r="A22">
        <v>21</v>
      </c>
      <c r="B22" s="10">
        <f>VLOOKUP(odpowiedzi[[#This Row],[Płeć]],plec[],2)</f>
        <v>1</v>
      </c>
      <c r="C22">
        <v>1</v>
      </c>
      <c r="D22" s="10" t="s">
        <v>13</v>
      </c>
      <c r="E22">
        <f>VLOOKUP(odpowiedzi[[#This Row],[Wydział]],wydzial[],2)</f>
        <v>31</v>
      </c>
      <c r="F22">
        <v>19</v>
      </c>
      <c r="G22" s="10" t="s">
        <v>155</v>
      </c>
      <c r="H22">
        <v>1</v>
      </c>
    </row>
    <row r="23" spans="1:8" x14ac:dyDescent="0.2">
      <c r="A23">
        <v>22</v>
      </c>
      <c r="B23" s="10">
        <f>VLOOKUP(odpowiedzi[[#This Row],[Płeć]],plec[],2)</f>
        <v>2</v>
      </c>
      <c r="C23">
        <v>1</v>
      </c>
      <c r="D23" s="10" t="s">
        <v>8</v>
      </c>
      <c r="E23">
        <f>VLOOKUP(odpowiedzi[[#This Row],[Wydział]],wydzial[],2)</f>
        <v>31</v>
      </c>
      <c r="F23">
        <v>19</v>
      </c>
      <c r="G23" s="10" t="s">
        <v>155</v>
      </c>
      <c r="H23">
        <v>0</v>
      </c>
    </row>
    <row r="24" spans="1:8" x14ac:dyDescent="0.2">
      <c r="A24">
        <v>23</v>
      </c>
      <c r="B24" s="10">
        <f>VLOOKUP(odpowiedzi[[#This Row],[Płeć]],plec[],2)</f>
        <v>1</v>
      </c>
      <c r="C24">
        <v>0</v>
      </c>
      <c r="D24" s="10" t="s">
        <v>13</v>
      </c>
      <c r="E24">
        <f>VLOOKUP(odpowiedzi[[#This Row],[Wydział]],wydzial[],2)</f>
        <v>33</v>
      </c>
      <c r="F24">
        <v>19</v>
      </c>
      <c r="G24" s="10" t="s">
        <v>27</v>
      </c>
      <c r="H24">
        <v>0</v>
      </c>
    </row>
    <row r="25" spans="1:8" x14ac:dyDescent="0.2">
      <c r="A25">
        <v>24</v>
      </c>
      <c r="B25" s="10">
        <f>VLOOKUP(odpowiedzi[[#This Row],[Płeć]],plec[],2)</f>
        <v>2</v>
      </c>
      <c r="C25">
        <v>1</v>
      </c>
      <c r="D25" s="10" t="s">
        <v>8</v>
      </c>
      <c r="E25">
        <f>VLOOKUP(odpowiedzi[[#This Row],[Wydział]],wydzial[],2)</f>
        <v>33</v>
      </c>
      <c r="F25">
        <v>19</v>
      </c>
      <c r="G25" s="10" t="s">
        <v>27</v>
      </c>
      <c r="H25">
        <v>0</v>
      </c>
    </row>
    <row r="26" spans="1:8" x14ac:dyDescent="0.2">
      <c r="A26">
        <v>25</v>
      </c>
      <c r="B26" s="10">
        <f>VLOOKUP(odpowiedzi[[#This Row],[Płeć]],plec[],2)</f>
        <v>2</v>
      </c>
      <c r="C26">
        <v>1</v>
      </c>
      <c r="D26" s="10" t="s">
        <v>8</v>
      </c>
      <c r="E26">
        <f>VLOOKUP(odpowiedzi[[#This Row],[Wydział]],wydzial[],2)</f>
        <v>33</v>
      </c>
      <c r="F26">
        <v>19</v>
      </c>
      <c r="G26" s="10" t="s">
        <v>27</v>
      </c>
      <c r="H26">
        <v>0</v>
      </c>
    </row>
    <row r="27" spans="1:8" x14ac:dyDescent="0.2">
      <c r="A27">
        <v>26</v>
      </c>
      <c r="B27" s="10">
        <f>VLOOKUP(odpowiedzi[[#This Row],[Płeć]],plec[],2)</f>
        <v>1</v>
      </c>
      <c r="C27">
        <v>0</v>
      </c>
      <c r="D27" s="10" t="s">
        <v>13</v>
      </c>
      <c r="E27">
        <f>VLOOKUP(odpowiedzi[[#This Row],[Wydział]],wydzial[],2)</f>
        <v>1</v>
      </c>
      <c r="F27">
        <v>20</v>
      </c>
      <c r="G27" s="10" t="s">
        <v>143</v>
      </c>
      <c r="H27">
        <v>0</v>
      </c>
    </row>
    <row r="28" spans="1:8" x14ac:dyDescent="0.2">
      <c r="A28">
        <v>27</v>
      </c>
      <c r="B28" s="10">
        <f>VLOOKUP(odpowiedzi[[#This Row],[Płeć]],plec[],2)</f>
        <v>2</v>
      </c>
      <c r="C28">
        <v>1</v>
      </c>
      <c r="D28" s="10" t="s">
        <v>8</v>
      </c>
      <c r="E28">
        <f>VLOOKUP(odpowiedzi[[#This Row],[Wydział]],wydzial[],2)</f>
        <v>6</v>
      </c>
      <c r="F28">
        <v>20</v>
      </c>
      <c r="G28" s="10" t="s">
        <v>162</v>
      </c>
      <c r="H28">
        <v>0</v>
      </c>
    </row>
    <row r="29" spans="1:8" x14ac:dyDescent="0.2">
      <c r="A29">
        <v>28</v>
      </c>
      <c r="B29" s="10">
        <f>VLOOKUP(odpowiedzi[[#This Row],[Płeć]],plec[],2)</f>
        <v>2</v>
      </c>
      <c r="C29">
        <v>0</v>
      </c>
      <c r="D29" s="10" t="s">
        <v>8</v>
      </c>
      <c r="E29">
        <f>VLOOKUP(odpowiedzi[[#This Row],[Wydział]],wydzial[],2)</f>
        <v>6</v>
      </c>
      <c r="F29">
        <v>20</v>
      </c>
      <c r="G29" s="10" t="s">
        <v>162</v>
      </c>
      <c r="H29">
        <v>0</v>
      </c>
    </row>
    <row r="30" spans="1:8" x14ac:dyDescent="0.2">
      <c r="A30">
        <v>29</v>
      </c>
      <c r="B30" s="10">
        <f>VLOOKUP(odpowiedzi[[#This Row],[Płeć]],plec[],2)</f>
        <v>1</v>
      </c>
      <c r="C30">
        <v>0</v>
      </c>
      <c r="D30" s="10" t="s">
        <v>13</v>
      </c>
      <c r="E30">
        <f>VLOOKUP(odpowiedzi[[#This Row],[Wydział]],wydzial[],2)</f>
        <v>7</v>
      </c>
      <c r="F30">
        <v>20</v>
      </c>
      <c r="G30" s="10" t="s">
        <v>51</v>
      </c>
      <c r="H30">
        <v>0</v>
      </c>
    </row>
    <row r="31" spans="1:8" x14ac:dyDescent="0.2">
      <c r="A31">
        <v>30</v>
      </c>
      <c r="B31" s="10">
        <f>VLOOKUP(odpowiedzi[[#This Row],[Płeć]],plec[],2)</f>
        <v>2</v>
      </c>
      <c r="C31">
        <v>1</v>
      </c>
      <c r="D31" s="10" t="s">
        <v>8</v>
      </c>
      <c r="E31">
        <f>VLOOKUP(odpowiedzi[[#This Row],[Wydział]],wydzial[],2)</f>
        <v>8</v>
      </c>
      <c r="F31">
        <v>20</v>
      </c>
      <c r="G31" s="10" t="s">
        <v>158</v>
      </c>
      <c r="H31">
        <v>1</v>
      </c>
    </row>
    <row r="32" spans="1:8" x14ac:dyDescent="0.2">
      <c r="A32">
        <v>31</v>
      </c>
      <c r="B32" s="10">
        <f>VLOOKUP(odpowiedzi[[#This Row],[Płeć]],plec[],2)</f>
        <v>2</v>
      </c>
      <c r="C32">
        <v>0</v>
      </c>
      <c r="D32" s="10" t="s">
        <v>8</v>
      </c>
      <c r="E32">
        <f>VLOOKUP(odpowiedzi[[#This Row],[Wydział]],wydzial[],2)</f>
        <v>8</v>
      </c>
      <c r="F32">
        <v>20</v>
      </c>
      <c r="G32" s="10" t="s">
        <v>158</v>
      </c>
      <c r="H32">
        <v>0</v>
      </c>
    </row>
    <row r="33" spans="1:8" x14ac:dyDescent="0.2">
      <c r="A33">
        <v>32</v>
      </c>
      <c r="B33" s="10">
        <f>VLOOKUP(odpowiedzi[[#This Row],[Płeć]],plec[],2)</f>
        <v>1</v>
      </c>
      <c r="C33">
        <v>1</v>
      </c>
      <c r="D33" s="10" t="s">
        <v>13</v>
      </c>
      <c r="E33">
        <f>VLOOKUP(odpowiedzi[[#This Row],[Wydział]],wydzial[],2)</f>
        <v>9</v>
      </c>
      <c r="F33">
        <v>20</v>
      </c>
      <c r="G33" s="10" t="s">
        <v>58</v>
      </c>
      <c r="H33">
        <v>1</v>
      </c>
    </row>
    <row r="34" spans="1:8" x14ac:dyDescent="0.2">
      <c r="A34">
        <v>33</v>
      </c>
      <c r="B34" s="10">
        <f>VLOOKUP(odpowiedzi[[#This Row],[Płeć]],plec[],2)</f>
        <v>2</v>
      </c>
      <c r="C34">
        <v>1</v>
      </c>
      <c r="D34" s="10" t="s">
        <v>8</v>
      </c>
      <c r="E34">
        <f>VLOOKUP(odpowiedzi[[#This Row],[Wydział]],wydzial[],2)</f>
        <v>9</v>
      </c>
      <c r="F34">
        <v>20</v>
      </c>
      <c r="G34" s="10" t="s">
        <v>58</v>
      </c>
      <c r="H34">
        <v>0</v>
      </c>
    </row>
    <row r="35" spans="1:8" x14ac:dyDescent="0.2">
      <c r="A35">
        <v>34</v>
      </c>
      <c r="B35" s="10">
        <f>VLOOKUP(odpowiedzi[[#This Row],[Płeć]],plec[],2)</f>
        <v>2</v>
      </c>
      <c r="C35">
        <v>1</v>
      </c>
      <c r="D35" s="10" t="s">
        <v>8</v>
      </c>
      <c r="E35">
        <f>VLOOKUP(odpowiedzi[[#This Row],[Wydział]],wydzial[],2)</f>
        <v>11</v>
      </c>
      <c r="F35">
        <v>20</v>
      </c>
      <c r="G35" s="10" t="s">
        <v>160</v>
      </c>
      <c r="H35">
        <v>0</v>
      </c>
    </row>
    <row r="36" spans="1:8" x14ac:dyDescent="0.2">
      <c r="A36">
        <v>35</v>
      </c>
      <c r="B36" s="10">
        <f>VLOOKUP(odpowiedzi[[#This Row],[Płeć]],plec[],2)</f>
        <v>1</v>
      </c>
      <c r="C36">
        <v>1</v>
      </c>
      <c r="D36" s="10" t="s">
        <v>13</v>
      </c>
      <c r="E36">
        <f>VLOOKUP(odpowiedzi[[#This Row],[Wydział]],wydzial[],2)</f>
        <v>14</v>
      </c>
      <c r="F36">
        <v>20</v>
      </c>
      <c r="G36" s="10" t="s">
        <v>149</v>
      </c>
      <c r="H36">
        <v>1</v>
      </c>
    </row>
    <row r="37" spans="1:8" x14ac:dyDescent="0.2">
      <c r="A37">
        <v>36</v>
      </c>
      <c r="B37" s="10">
        <f>VLOOKUP(odpowiedzi[[#This Row],[Płeć]],plec[],2)</f>
        <v>1</v>
      </c>
      <c r="C37">
        <v>1</v>
      </c>
      <c r="D37" s="10" t="s">
        <v>13</v>
      </c>
      <c r="E37">
        <f>VLOOKUP(odpowiedzi[[#This Row],[Wydział]],wydzial[],2)</f>
        <v>15</v>
      </c>
      <c r="F37">
        <v>20</v>
      </c>
      <c r="G37" s="10" t="s">
        <v>150</v>
      </c>
      <c r="H37">
        <v>0</v>
      </c>
    </row>
    <row r="38" spans="1:8" x14ac:dyDescent="0.2">
      <c r="A38">
        <v>37</v>
      </c>
      <c r="B38" s="10">
        <f>VLOOKUP(odpowiedzi[[#This Row],[Płeć]],plec[],2)</f>
        <v>1</v>
      </c>
      <c r="C38">
        <v>1</v>
      </c>
      <c r="D38" s="10" t="s">
        <v>13</v>
      </c>
      <c r="E38">
        <f>VLOOKUP(odpowiedzi[[#This Row],[Wydział]],wydzial[],2)</f>
        <v>16</v>
      </c>
      <c r="F38">
        <v>20</v>
      </c>
      <c r="G38" s="10" t="s">
        <v>151</v>
      </c>
      <c r="H38">
        <v>1</v>
      </c>
    </row>
    <row r="39" spans="1:8" x14ac:dyDescent="0.2">
      <c r="A39">
        <v>38</v>
      </c>
      <c r="B39" s="10">
        <f>VLOOKUP(odpowiedzi[[#This Row],[Płeć]],plec[],2)</f>
        <v>1</v>
      </c>
      <c r="C39">
        <v>1</v>
      </c>
      <c r="D39" s="10" t="s">
        <v>13</v>
      </c>
      <c r="E39">
        <f>VLOOKUP(odpowiedzi[[#This Row],[Wydział]],wydzial[],2)</f>
        <v>17</v>
      </c>
      <c r="F39">
        <v>20</v>
      </c>
      <c r="G39" s="10" t="s">
        <v>152</v>
      </c>
      <c r="H39">
        <v>0</v>
      </c>
    </row>
    <row r="40" spans="1:8" x14ac:dyDescent="0.2">
      <c r="A40">
        <v>39</v>
      </c>
      <c r="B40" s="10">
        <f>VLOOKUP(odpowiedzi[[#This Row],[Płeć]],plec[],2)</f>
        <v>2</v>
      </c>
      <c r="C40">
        <v>1</v>
      </c>
      <c r="D40" s="10" t="s">
        <v>8</v>
      </c>
      <c r="E40">
        <f>VLOOKUP(odpowiedzi[[#This Row],[Wydział]],wydzial[],2)</f>
        <v>19</v>
      </c>
      <c r="F40">
        <v>20</v>
      </c>
      <c r="G40" s="10" t="s">
        <v>141</v>
      </c>
      <c r="H40">
        <v>1</v>
      </c>
    </row>
    <row r="41" spans="1:8" x14ac:dyDescent="0.2">
      <c r="A41">
        <v>40</v>
      </c>
      <c r="B41" s="10">
        <f>VLOOKUP(odpowiedzi[[#This Row],[Płeć]],plec[],2)</f>
        <v>2</v>
      </c>
      <c r="C41">
        <v>1</v>
      </c>
      <c r="D41" s="10" t="s">
        <v>8</v>
      </c>
      <c r="E41">
        <f>VLOOKUP(odpowiedzi[[#This Row],[Wydział]],wydzial[],2)</f>
        <v>19</v>
      </c>
      <c r="F41">
        <v>20</v>
      </c>
      <c r="G41" s="10" t="s">
        <v>141</v>
      </c>
      <c r="H41">
        <v>0</v>
      </c>
    </row>
    <row r="42" spans="1:8" x14ac:dyDescent="0.2">
      <c r="A42">
        <v>41</v>
      </c>
      <c r="B42" s="10">
        <f>VLOOKUP(odpowiedzi[[#This Row],[Płeć]],plec[],2)</f>
        <v>2</v>
      </c>
      <c r="C42">
        <v>1</v>
      </c>
      <c r="D42" s="10" t="s">
        <v>8</v>
      </c>
      <c r="E42">
        <f>VLOOKUP(odpowiedzi[[#This Row],[Wydział]],wydzial[],2)</f>
        <v>19</v>
      </c>
      <c r="F42">
        <v>20</v>
      </c>
      <c r="G42" s="10" t="s">
        <v>141</v>
      </c>
      <c r="H42">
        <v>0</v>
      </c>
    </row>
    <row r="43" spans="1:8" x14ac:dyDescent="0.2">
      <c r="A43">
        <v>42</v>
      </c>
      <c r="B43" s="10">
        <f>VLOOKUP(odpowiedzi[[#This Row],[Płeć]],plec[],2)</f>
        <v>2</v>
      </c>
      <c r="C43">
        <v>1</v>
      </c>
      <c r="D43" s="10" t="s">
        <v>8</v>
      </c>
      <c r="E43">
        <f>VLOOKUP(odpowiedzi[[#This Row],[Wydział]],wydzial[],2)</f>
        <v>19</v>
      </c>
      <c r="F43">
        <v>20</v>
      </c>
      <c r="G43" s="10" t="s">
        <v>141</v>
      </c>
      <c r="H43">
        <v>0</v>
      </c>
    </row>
    <row r="44" spans="1:8" x14ac:dyDescent="0.2">
      <c r="A44">
        <v>43</v>
      </c>
      <c r="B44" s="10">
        <f>VLOOKUP(odpowiedzi[[#This Row],[Płeć]],plec[],2)</f>
        <v>2</v>
      </c>
      <c r="C44">
        <v>1</v>
      </c>
      <c r="D44" s="10" t="s">
        <v>8</v>
      </c>
      <c r="E44">
        <f>VLOOKUP(odpowiedzi[[#This Row],[Wydział]],wydzial[],2)</f>
        <v>19</v>
      </c>
      <c r="F44">
        <v>20</v>
      </c>
      <c r="G44" s="10" t="s">
        <v>141</v>
      </c>
      <c r="H44">
        <v>1</v>
      </c>
    </row>
    <row r="45" spans="1:8" x14ac:dyDescent="0.2">
      <c r="A45">
        <v>44</v>
      </c>
      <c r="B45" s="10">
        <f>VLOOKUP(odpowiedzi[[#This Row],[Płeć]],plec[],2)</f>
        <v>2</v>
      </c>
      <c r="C45">
        <v>0</v>
      </c>
      <c r="D45" s="10" t="s">
        <v>8</v>
      </c>
      <c r="E45">
        <f>VLOOKUP(odpowiedzi[[#This Row],[Wydział]],wydzial[],2)</f>
        <v>19</v>
      </c>
      <c r="F45">
        <v>20</v>
      </c>
      <c r="G45" s="10" t="s">
        <v>141</v>
      </c>
      <c r="H45">
        <v>0</v>
      </c>
    </row>
    <row r="46" spans="1:8" x14ac:dyDescent="0.2">
      <c r="A46">
        <v>45</v>
      </c>
      <c r="B46" s="10">
        <f>VLOOKUP(odpowiedzi[[#This Row],[Płeć]],plec[],2)</f>
        <v>2</v>
      </c>
      <c r="C46">
        <v>0</v>
      </c>
      <c r="D46" s="10" t="s">
        <v>8</v>
      </c>
      <c r="E46">
        <f>VLOOKUP(odpowiedzi[[#This Row],[Wydział]],wydzial[],2)</f>
        <v>19</v>
      </c>
      <c r="F46">
        <v>20</v>
      </c>
      <c r="G46" s="10" t="s">
        <v>141</v>
      </c>
      <c r="H46">
        <v>0</v>
      </c>
    </row>
    <row r="47" spans="1:8" x14ac:dyDescent="0.2">
      <c r="A47">
        <v>46</v>
      </c>
      <c r="B47" s="10">
        <f>VLOOKUP(odpowiedzi[[#This Row],[Płeć]],plec[],2)</f>
        <v>2</v>
      </c>
      <c r="C47">
        <v>1</v>
      </c>
      <c r="D47" s="10" t="s">
        <v>8</v>
      </c>
      <c r="E47">
        <f>VLOOKUP(odpowiedzi[[#This Row],[Wydział]],wydzial[],2)</f>
        <v>19</v>
      </c>
      <c r="F47">
        <v>20</v>
      </c>
      <c r="G47" s="10" t="s">
        <v>141</v>
      </c>
      <c r="H47">
        <v>0</v>
      </c>
    </row>
    <row r="48" spans="1:8" x14ac:dyDescent="0.2">
      <c r="A48">
        <v>47</v>
      </c>
      <c r="B48" s="10">
        <f>VLOOKUP(odpowiedzi[[#This Row],[Płeć]],plec[],2)</f>
        <v>2</v>
      </c>
      <c r="C48">
        <v>1</v>
      </c>
      <c r="D48" s="10" t="s">
        <v>8</v>
      </c>
      <c r="E48">
        <f>VLOOKUP(odpowiedzi[[#This Row],[Wydział]],wydzial[],2)</f>
        <v>19</v>
      </c>
      <c r="F48">
        <v>20</v>
      </c>
      <c r="G48" s="10" t="s">
        <v>141</v>
      </c>
      <c r="H48">
        <v>0</v>
      </c>
    </row>
    <row r="49" spans="1:8" x14ac:dyDescent="0.2">
      <c r="A49">
        <v>48</v>
      </c>
      <c r="B49" s="10">
        <f>VLOOKUP(odpowiedzi[[#This Row],[Płeć]],plec[],2)</f>
        <v>2</v>
      </c>
      <c r="C49">
        <v>0</v>
      </c>
      <c r="D49" s="10" t="s">
        <v>8</v>
      </c>
      <c r="E49">
        <f>VLOOKUP(odpowiedzi[[#This Row],[Wydział]],wydzial[],2)</f>
        <v>19</v>
      </c>
      <c r="F49">
        <v>20</v>
      </c>
      <c r="G49" s="10" t="s">
        <v>141</v>
      </c>
      <c r="H49">
        <v>0</v>
      </c>
    </row>
    <row r="50" spans="1:8" x14ac:dyDescent="0.2">
      <c r="A50">
        <v>49</v>
      </c>
      <c r="B50" s="10">
        <f>VLOOKUP(odpowiedzi[[#This Row],[Płeć]],plec[],2)</f>
        <v>2</v>
      </c>
      <c r="C50">
        <v>1</v>
      </c>
      <c r="D50" s="10" t="s">
        <v>8</v>
      </c>
      <c r="E50">
        <f>VLOOKUP(odpowiedzi[[#This Row],[Wydział]],wydzial[],2)</f>
        <v>19</v>
      </c>
      <c r="F50">
        <v>20</v>
      </c>
      <c r="G50" s="10" t="s">
        <v>141</v>
      </c>
      <c r="H50">
        <v>0</v>
      </c>
    </row>
    <row r="51" spans="1:8" x14ac:dyDescent="0.2">
      <c r="A51">
        <v>50</v>
      </c>
      <c r="B51" s="10">
        <f>VLOOKUP(odpowiedzi[[#This Row],[Płeć]],plec[],2)</f>
        <v>2</v>
      </c>
      <c r="C51">
        <v>1</v>
      </c>
      <c r="D51" s="10" t="s">
        <v>8</v>
      </c>
      <c r="E51">
        <f>VLOOKUP(odpowiedzi[[#This Row],[Wydział]],wydzial[],2)</f>
        <v>19</v>
      </c>
      <c r="F51">
        <v>20</v>
      </c>
      <c r="G51" s="10" t="s">
        <v>141</v>
      </c>
      <c r="H51">
        <v>0</v>
      </c>
    </row>
    <row r="52" spans="1:8" x14ac:dyDescent="0.2">
      <c r="A52">
        <v>51</v>
      </c>
      <c r="B52" s="10">
        <f>VLOOKUP(odpowiedzi[[#This Row],[Płeć]],plec[],2)</f>
        <v>2</v>
      </c>
      <c r="C52">
        <v>1</v>
      </c>
      <c r="D52" s="10" t="s">
        <v>8</v>
      </c>
      <c r="E52">
        <f>VLOOKUP(odpowiedzi[[#This Row],[Wydział]],wydzial[],2)</f>
        <v>19</v>
      </c>
      <c r="F52">
        <v>20</v>
      </c>
      <c r="G52" s="10" t="s">
        <v>141</v>
      </c>
      <c r="H52">
        <v>0</v>
      </c>
    </row>
    <row r="53" spans="1:8" x14ac:dyDescent="0.2">
      <c r="A53">
        <v>52</v>
      </c>
      <c r="B53" s="10">
        <f>VLOOKUP(odpowiedzi[[#This Row],[Płeć]],plec[],2)</f>
        <v>2</v>
      </c>
      <c r="C53">
        <v>1</v>
      </c>
      <c r="D53" s="10" t="s">
        <v>8</v>
      </c>
      <c r="E53">
        <f>VLOOKUP(odpowiedzi[[#This Row],[Wydział]],wydzial[],2)</f>
        <v>19</v>
      </c>
      <c r="F53">
        <v>20</v>
      </c>
      <c r="G53" s="10" t="s">
        <v>141</v>
      </c>
      <c r="H53">
        <v>0</v>
      </c>
    </row>
    <row r="54" spans="1:8" x14ac:dyDescent="0.2">
      <c r="A54">
        <v>53</v>
      </c>
      <c r="B54" s="10">
        <f>VLOOKUP(odpowiedzi[[#This Row],[Płeć]],plec[],2)</f>
        <v>2</v>
      </c>
      <c r="C54">
        <v>1</v>
      </c>
      <c r="D54" s="10" t="s">
        <v>8</v>
      </c>
      <c r="E54">
        <f>VLOOKUP(odpowiedzi[[#This Row],[Wydział]],wydzial[],2)</f>
        <v>19</v>
      </c>
      <c r="F54">
        <v>20</v>
      </c>
      <c r="G54" s="10" t="s">
        <v>141</v>
      </c>
      <c r="H54">
        <v>1</v>
      </c>
    </row>
    <row r="55" spans="1:8" x14ac:dyDescent="0.2">
      <c r="A55">
        <v>54</v>
      </c>
      <c r="B55" s="10">
        <f>VLOOKUP(odpowiedzi[[#This Row],[Płeć]],plec[],2)</f>
        <v>1</v>
      </c>
      <c r="C55">
        <v>0</v>
      </c>
      <c r="D55" s="10" t="s">
        <v>13</v>
      </c>
      <c r="E55">
        <f>VLOOKUP(odpowiedzi[[#This Row],[Wydział]],wydzial[],2)</f>
        <v>21</v>
      </c>
      <c r="F55">
        <v>20</v>
      </c>
      <c r="G55" s="10" t="s">
        <v>76</v>
      </c>
      <c r="H55">
        <v>0</v>
      </c>
    </row>
    <row r="56" spans="1:8" x14ac:dyDescent="0.2">
      <c r="A56">
        <v>55</v>
      </c>
      <c r="B56" s="10">
        <f>VLOOKUP(odpowiedzi[[#This Row],[Płeć]],plec[],2)</f>
        <v>2</v>
      </c>
      <c r="C56">
        <v>1</v>
      </c>
      <c r="D56" s="10" t="s">
        <v>8</v>
      </c>
      <c r="E56">
        <f>VLOOKUP(odpowiedzi[[#This Row],[Wydział]],wydzial[],2)</f>
        <v>21</v>
      </c>
      <c r="F56">
        <v>20</v>
      </c>
      <c r="G56" s="10" t="s">
        <v>76</v>
      </c>
      <c r="H56">
        <v>1</v>
      </c>
    </row>
    <row r="57" spans="1:8" x14ac:dyDescent="0.2">
      <c r="A57">
        <v>56</v>
      </c>
      <c r="B57" s="10">
        <f>VLOOKUP(odpowiedzi[[#This Row],[Płeć]],plec[],2)</f>
        <v>2</v>
      </c>
      <c r="C57">
        <v>1</v>
      </c>
      <c r="D57" s="10" t="s">
        <v>8</v>
      </c>
      <c r="E57">
        <f>VLOOKUP(odpowiedzi[[#This Row],[Wydział]],wydzial[],2)</f>
        <v>21</v>
      </c>
      <c r="F57">
        <v>20</v>
      </c>
      <c r="G57" s="10" t="s">
        <v>76</v>
      </c>
      <c r="H57">
        <v>0</v>
      </c>
    </row>
    <row r="58" spans="1:8" x14ac:dyDescent="0.2">
      <c r="A58">
        <v>57</v>
      </c>
      <c r="B58" s="10">
        <f>VLOOKUP(odpowiedzi[[#This Row],[Płeć]],plec[],2)</f>
        <v>2</v>
      </c>
      <c r="C58">
        <v>0</v>
      </c>
      <c r="D58" s="10" t="s">
        <v>8</v>
      </c>
      <c r="E58">
        <f>VLOOKUP(odpowiedzi[[#This Row],[Wydział]],wydzial[],2)</f>
        <v>21</v>
      </c>
      <c r="F58">
        <v>20</v>
      </c>
      <c r="G58" s="10" t="s">
        <v>76</v>
      </c>
      <c r="H58">
        <v>0</v>
      </c>
    </row>
    <row r="59" spans="1:8" x14ac:dyDescent="0.2">
      <c r="A59">
        <v>58</v>
      </c>
      <c r="B59" s="10">
        <f>VLOOKUP(odpowiedzi[[#This Row],[Płeć]],plec[],2)</f>
        <v>2</v>
      </c>
      <c r="C59">
        <v>1</v>
      </c>
      <c r="D59" s="10" t="s">
        <v>8</v>
      </c>
      <c r="E59">
        <f>VLOOKUP(odpowiedzi[[#This Row],[Wydział]],wydzial[],2)</f>
        <v>21</v>
      </c>
      <c r="F59">
        <v>20</v>
      </c>
      <c r="G59" s="10" t="s">
        <v>76</v>
      </c>
      <c r="H59">
        <v>1</v>
      </c>
    </row>
    <row r="60" spans="1:8" x14ac:dyDescent="0.2">
      <c r="A60">
        <v>59</v>
      </c>
      <c r="B60" s="10">
        <f>VLOOKUP(odpowiedzi[[#This Row],[Płeć]],plec[],2)</f>
        <v>2</v>
      </c>
      <c r="C60">
        <v>1</v>
      </c>
      <c r="D60" s="10" t="s">
        <v>8</v>
      </c>
      <c r="E60">
        <f>VLOOKUP(odpowiedzi[[#This Row],[Wydział]],wydzial[],2)</f>
        <v>21</v>
      </c>
      <c r="F60">
        <v>20</v>
      </c>
      <c r="G60" s="10" t="s">
        <v>76</v>
      </c>
      <c r="H60">
        <v>0</v>
      </c>
    </row>
    <row r="61" spans="1:8" x14ac:dyDescent="0.2">
      <c r="A61">
        <v>60</v>
      </c>
      <c r="B61" s="10">
        <f>VLOOKUP(odpowiedzi[[#This Row],[Płeć]],plec[],2)</f>
        <v>1</v>
      </c>
      <c r="C61">
        <v>0</v>
      </c>
      <c r="D61" s="10" t="s">
        <v>13</v>
      </c>
      <c r="E61">
        <f>VLOOKUP(odpowiedzi[[#This Row],[Wydział]],wydzial[],2)</f>
        <v>21</v>
      </c>
      <c r="F61">
        <v>20</v>
      </c>
      <c r="G61" s="10" t="s">
        <v>76</v>
      </c>
      <c r="H61">
        <v>0</v>
      </c>
    </row>
    <row r="62" spans="1:8" x14ac:dyDescent="0.2">
      <c r="A62">
        <v>61</v>
      </c>
      <c r="B62" s="10">
        <f>VLOOKUP(odpowiedzi[[#This Row],[Płeć]],plec[],2)</f>
        <v>1</v>
      </c>
      <c r="C62">
        <v>0</v>
      </c>
      <c r="D62" s="10" t="s">
        <v>13</v>
      </c>
      <c r="E62">
        <f>VLOOKUP(odpowiedzi[[#This Row],[Wydział]],wydzial[],2)</f>
        <v>22</v>
      </c>
      <c r="F62">
        <v>20</v>
      </c>
      <c r="G62" s="10" t="s">
        <v>69</v>
      </c>
      <c r="H62">
        <v>0</v>
      </c>
    </row>
    <row r="63" spans="1:8" x14ac:dyDescent="0.2">
      <c r="A63">
        <v>62</v>
      </c>
      <c r="B63" s="10">
        <f>VLOOKUP(odpowiedzi[[#This Row],[Płeć]],plec[],2)</f>
        <v>2</v>
      </c>
      <c r="C63">
        <v>1</v>
      </c>
      <c r="D63" s="10" t="s">
        <v>8</v>
      </c>
      <c r="E63">
        <f>VLOOKUP(odpowiedzi[[#This Row],[Wydział]],wydzial[],2)</f>
        <v>22</v>
      </c>
      <c r="F63">
        <v>20</v>
      </c>
      <c r="G63" s="10" t="s">
        <v>69</v>
      </c>
      <c r="H63">
        <v>1</v>
      </c>
    </row>
    <row r="64" spans="1:8" x14ac:dyDescent="0.2">
      <c r="A64">
        <v>63</v>
      </c>
      <c r="B64" s="10">
        <f>VLOOKUP(odpowiedzi[[#This Row],[Płeć]],plec[],2)</f>
        <v>2</v>
      </c>
      <c r="C64">
        <v>1</v>
      </c>
      <c r="D64" s="10" t="s">
        <v>8</v>
      </c>
      <c r="E64">
        <f>VLOOKUP(odpowiedzi[[#This Row],[Wydział]],wydzial[],2)</f>
        <v>22</v>
      </c>
      <c r="F64">
        <v>20</v>
      </c>
      <c r="G64" s="10" t="s">
        <v>69</v>
      </c>
      <c r="H64">
        <v>0</v>
      </c>
    </row>
    <row r="65" spans="1:8" x14ac:dyDescent="0.2">
      <c r="A65">
        <v>64</v>
      </c>
      <c r="B65" s="10">
        <f>VLOOKUP(odpowiedzi[[#This Row],[Płeć]],plec[],2)</f>
        <v>2</v>
      </c>
      <c r="C65">
        <v>0</v>
      </c>
      <c r="D65" s="10" t="s">
        <v>8</v>
      </c>
      <c r="E65">
        <f>VLOOKUP(odpowiedzi[[#This Row],[Wydział]],wydzial[],2)</f>
        <v>23</v>
      </c>
      <c r="F65">
        <v>20</v>
      </c>
      <c r="G65" s="10" t="s">
        <v>79</v>
      </c>
      <c r="H65">
        <v>0</v>
      </c>
    </row>
    <row r="66" spans="1:8" x14ac:dyDescent="0.2">
      <c r="A66">
        <v>65</v>
      </c>
      <c r="B66" s="10">
        <f>VLOOKUP(odpowiedzi[[#This Row],[Płeć]],plec[],2)</f>
        <v>1</v>
      </c>
      <c r="C66">
        <v>0</v>
      </c>
      <c r="D66" s="10" t="s">
        <v>13</v>
      </c>
      <c r="E66">
        <f>VLOOKUP(odpowiedzi[[#This Row],[Wydział]],wydzial[],2)</f>
        <v>11</v>
      </c>
      <c r="F66">
        <v>20</v>
      </c>
      <c r="G66" s="10" t="s">
        <v>160</v>
      </c>
      <c r="H66">
        <v>1</v>
      </c>
    </row>
    <row r="67" spans="1:8" x14ac:dyDescent="0.2">
      <c r="A67">
        <v>66</v>
      </c>
      <c r="B67" s="10">
        <f>VLOOKUP(odpowiedzi[[#This Row],[Płeć]],plec[],2)</f>
        <v>2</v>
      </c>
      <c r="C67">
        <v>1</v>
      </c>
      <c r="D67" s="10" t="s">
        <v>8</v>
      </c>
      <c r="E67">
        <f>VLOOKUP(odpowiedzi[[#This Row],[Wydział]],wydzial[],2)</f>
        <v>25</v>
      </c>
      <c r="F67">
        <v>20</v>
      </c>
      <c r="G67" s="10" t="s">
        <v>154</v>
      </c>
      <c r="H67">
        <v>1</v>
      </c>
    </row>
    <row r="68" spans="1:8" x14ac:dyDescent="0.2">
      <c r="A68">
        <v>67</v>
      </c>
      <c r="B68" s="10">
        <f>VLOOKUP(odpowiedzi[[#This Row],[Płeć]],plec[],2)</f>
        <v>2</v>
      </c>
      <c r="C68">
        <v>1</v>
      </c>
      <c r="D68" s="10" t="s">
        <v>8</v>
      </c>
      <c r="E68">
        <f>VLOOKUP(odpowiedzi[[#This Row],[Wydział]],wydzial[],2)</f>
        <v>27</v>
      </c>
      <c r="F68">
        <v>20</v>
      </c>
      <c r="G68" s="10" t="s">
        <v>144</v>
      </c>
      <c r="H68">
        <v>0</v>
      </c>
    </row>
    <row r="69" spans="1:8" x14ac:dyDescent="0.2">
      <c r="A69">
        <v>68</v>
      </c>
      <c r="B69" s="10">
        <f>VLOOKUP(odpowiedzi[[#This Row],[Płeć]],plec[],2)</f>
        <v>2</v>
      </c>
      <c r="C69">
        <v>0</v>
      </c>
      <c r="D69" s="10" t="s">
        <v>8</v>
      </c>
      <c r="E69">
        <f>VLOOKUP(odpowiedzi[[#This Row],[Wydział]],wydzial[],2)</f>
        <v>28</v>
      </c>
      <c r="F69">
        <v>20</v>
      </c>
      <c r="G69" s="10" t="s">
        <v>146</v>
      </c>
      <c r="H69">
        <v>0</v>
      </c>
    </row>
    <row r="70" spans="1:8" x14ac:dyDescent="0.2">
      <c r="A70">
        <v>69</v>
      </c>
      <c r="B70" s="10">
        <f>VLOOKUP(odpowiedzi[[#This Row],[Płeć]],plec[],2)</f>
        <v>2</v>
      </c>
      <c r="C70">
        <v>0</v>
      </c>
      <c r="D70" s="10" t="s">
        <v>8</v>
      </c>
      <c r="E70">
        <f>VLOOKUP(odpowiedzi[[#This Row],[Wydział]],wydzial[],2)</f>
        <v>28</v>
      </c>
      <c r="F70">
        <v>20</v>
      </c>
      <c r="G70" s="10" t="s">
        <v>146</v>
      </c>
      <c r="H70">
        <v>0</v>
      </c>
    </row>
    <row r="71" spans="1:8" x14ac:dyDescent="0.2">
      <c r="A71">
        <v>70</v>
      </c>
      <c r="B71" s="10">
        <f>VLOOKUP(odpowiedzi[[#This Row],[Płeć]],plec[],2)</f>
        <v>1</v>
      </c>
      <c r="C71">
        <v>0</v>
      </c>
      <c r="D71" s="10" t="s">
        <v>13</v>
      </c>
      <c r="E71">
        <f>VLOOKUP(odpowiedzi[[#This Row],[Wydział]],wydzial[],2)</f>
        <v>29</v>
      </c>
      <c r="F71">
        <v>20</v>
      </c>
      <c r="G71" s="10" t="s">
        <v>56</v>
      </c>
      <c r="H71">
        <v>0</v>
      </c>
    </row>
    <row r="72" spans="1:8" x14ac:dyDescent="0.2">
      <c r="A72">
        <v>71</v>
      </c>
      <c r="B72" s="10">
        <f>VLOOKUP(odpowiedzi[[#This Row],[Płeć]],plec[],2)</f>
        <v>1</v>
      </c>
      <c r="C72">
        <v>1</v>
      </c>
      <c r="D72" s="10" t="s">
        <v>13</v>
      </c>
      <c r="E72">
        <f>VLOOKUP(odpowiedzi[[#This Row],[Wydział]],wydzial[],2)</f>
        <v>29</v>
      </c>
      <c r="F72">
        <v>20</v>
      </c>
      <c r="G72" s="10" t="s">
        <v>56</v>
      </c>
      <c r="H72">
        <v>0</v>
      </c>
    </row>
    <row r="73" spans="1:8" x14ac:dyDescent="0.2">
      <c r="A73">
        <v>72</v>
      </c>
      <c r="B73" s="10">
        <f>VLOOKUP(odpowiedzi[[#This Row],[Płeć]],plec[],2)</f>
        <v>2</v>
      </c>
      <c r="C73">
        <v>1</v>
      </c>
      <c r="D73" s="10" t="s">
        <v>8</v>
      </c>
      <c r="E73">
        <f>VLOOKUP(odpowiedzi[[#This Row],[Wydział]],wydzial[],2)</f>
        <v>29</v>
      </c>
      <c r="F73">
        <v>20</v>
      </c>
      <c r="G73" s="10" t="s">
        <v>56</v>
      </c>
      <c r="H73">
        <v>1</v>
      </c>
    </row>
    <row r="74" spans="1:8" x14ac:dyDescent="0.2">
      <c r="A74">
        <v>73</v>
      </c>
      <c r="B74" s="10">
        <f>VLOOKUP(odpowiedzi[[#This Row],[Płeć]],plec[],2)</f>
        <v>1</v>
      </c>
      <c r="C74">
        <v>0</v>
      </c>
      <c r="D74" s="10" t="s">
        <v>13</v>
      </c>
      <c r="E74">
        <f>VLOOKUP(odpowiedzi[[#This Row],[Wydział]],wydzial[],2)</f>
        <v>29</v>
      </c>
      <c r="F74">
        <v>20</v>
      </c>
      <c r="G74" s="10" t="s">
        <v>56</v>
      </c>
      <c r="H74">
        <v>0</v>
      </c>
    </row>
    <row r="75" spans="1:8" x14ac:dyDescent="0.2">
      <c r="A75">
        <v>74</v>
      </c>
      <c r="B75" s="10">
        <f>VLOOKUP(odpowiedzi[[#This Row],[Płeć]],plec[],2)</f>
        <v>2</v>
      </c>
      <c r="C75">
        <v>1</v>
      </c>
      <c r="D75" s="10" t="s">
        <v>8</v>
      </c>
      <c r="E75">
        <f>VLOOKUP(odpowiedzi[[#This Row],[Wydział]],wydzial[],2)</f>
        <v>29</v>
      </c>
      <c r="F75">
        <v>20</v>
      </c>
      <c r="G75" s="10" t="s">
        <v>56</v>
      </c>
      <c r="H75">
        <v>1</v>
      </c>
    </row>
    <row r="76" spans="1:8" x14ac:dyDescent="0.2">
      <c r="A76">
        <v>75</v>
      </c>
      <c r="B76" s="10">
        <f>VLOOKUP(odpowiedzi[[#This Row],[Płeć]],plec[],2)</f>
        <v>2</v>
      </c>
      <c r="C76">
        <v>1</v>
      </c>
      <c r="D76" s="10" t="s">
        <v>8</v>
      </c>
      <c r="E76">
        <f>VLOOKUP(odpowiedzi[[#This Row],[Wydział]],wydzial[],2)</f>
        <v>33</v>
      </c>
      <c r="F76">
        <v>20</v>
      </c>
      <c r="G76" s="10" t="s">
        <v>27</v>
      </c>
      <c r="H76">
        <v>0</v>
      </c>
    </row>
    <row r="77" spans="1:8" x14ac:dyDescent="0.2">
      <c r="A77">
        <v>76</v>
      </c>
      <c r="B77" s="10">
        <f>VLOOKUP(odpowiedzi[[#This Row],[Płeć]],plec[],2)</f>
        <v>2</v>
      </c>
      <c r="C77">
        <v>1</v>
      </c>
      <c r="D77" s="10" t="s">
        <v>8</v>
      </c>
      <c r="E77">
        <f>VLOOKUP(odpowiedzi[[#This Row],[Wydział]],wydzial[],2)</f>
        <v>33</v>
      </c>
      <c r="F77">
        <v>20</v>
      </c>
      <c r="G77" s="10" t="s">
        <v>27</v>
      </c>
      <c r="H77">
        <v>1</v>
      </c>
    </row>
    <row r="78" spans="1:8" x14ac:dyDescent="0.2">
      <c r="A78">
        <v>77</v>
      </c>
      <c r="B78" s="10">
        <f>VLOOKUP(odpowiedzi[[#This Row],[Płeć]],plec[],2)</f>
        <v>2</v>
      </c>
      <c r="C78">
        <v>1</v>
      </c>
      <c r="D78" s="10" t="s">
        <v>8</v>
      </c>
      <c r="E78">
        <f>VLOOKUP(odpowiedzi[[#This Row],[Wydział]],wydzial[],2)</f>
        <v>33</v>
      </c>
      <c r="F78">
        <v>20</v>
      </c>
      <c r="G78" s="10" t="s">
        <v>27</v>
      </c>
      <c r="H78">
        <v>0</v>
      </c>
    </row>
    <row r="79" spans="1:8" x14ac:dyDescent="0.2">
      <c r="A79">
        <v>78</v>
      </c>
      <c r="B79" s="10">
        <f>VLOOKUP(odpowiedzi[[#This Row],[Płeć]],plec[],2)</f>
        <v>1</v>
      </c>
      <c r="C79">
        <v>0</v>
      </c>
      <c r="D79" s="10" t="s">
        <v>13</v>
      </c>
      <c r="E79">
        <f>VLOOKUP(odpowiedzi[[#This Row],[Wydział]],wydzial[],2)</f>
        <v>33</v>
      </c>
      <c r="F79">
        <v>20</v>
      </c>
      <c r="G79" s="10" t="s">
        <v>27</v>
      </c>
      <c r="H79">
        <v>1</v>
      </c>
    </row>
    <row r="80" spans="1:8" x14ac:dyDescent="0.2">
      <c r="A80">
        <v>79</v>
      </c>
      <c r="B80" s="10">
        <f>VLOOKUP(odpowiedzi[[#This Row],[Płeć]],plec[],2)</f>
        <v>2</v>
      </c>
      <c r="C80">
        <v>1</v>
      </c>
      <c r="D80" s="10" t="s">
        <v>8</v>
      </c>
      <c r="E80">
        <f>VLOOKUP(odpowiedzi[[#This Row],[Wydział]],wydzial[],2)</f>
        <v>33</v>
      </c>
      <c r="F80">
        <v>20</v>
      </c>
      <c r="G80" s="10" t="s">
        <v>27</v>
      </c>
      <c r="H80">
        <v>1</v>
      </c>
    </row>
    <row r="81" spans="1:8" x14ac:dyDescent="0.2">
      <c r="A81">
        <v>80</v>
      </c>
      <c r="B81" s="10">
        <f>VLOOKUP(odpowiedzi[[#This Row],[Płeć]],plec[],2)</f>
        <v>2</v>
      </c>
      <c r="C81">
        <v>1</v>
      </c>
      <c r="D81" s="10" t="s">
        <v>8</v>
      </c>
      <c r="E81">
        <f>VLOOKUP(odpowiedzi[[#This Row],[Wydział]],wydzial[],2)</f>
        <v>33</v>
      </c>
      <c r="F81">
        <v>20</v>
      </c>
      <c r="G81" s="10" t="s">
        <v>27</v>
      </c>
      <c r="H81">
        <v>1</v>
      </c>
    </row>
    <row r="82" spans="1:8" x14ac:dyDescent="0.2">
      <c r="A82">
        <v>81</v>
      </c>
      <c r="B82" s="10">
        <f>VLOOKUP(odpowiedzi[[#This Row],[Płeć]],plec[],2)</f>
        <v>2</v>
      </c>
      <c r="C82">
        <v>1</v>
      </c>
      <c r="D82" s="10" t="s">
        <v>8</v>
      </c>
      <c r="E82">
        <f>VLOOKUP(odpowiedzi[[#This Row],[Wydział]],wydzial[],2)</f>
        <v>33</v>
      </c>
      <c r="F82">
        <v>20</v>
      </c>
      <c r="G82" s="10" t="s">
        <v>27</v>
      </c>
      <c r="H82">
        <v>0</v>
      </c>
    </row>
    <row r="83" spans="1:8" x14ac:dyDescent="0.2">
      <c r="A83">
        <v>82</v>
      </c>
      <c r="B83" s="10">
        <f>VLOOKUP(odpowiedzi[[#This Row],[Płeć]],plec[],2)</f>
        <v>2</v>
      </c>
      <c r="C83">
        <v>1</v>
      </c>
      <c r="D83" s="10" t="s">
        <v>8</v>
      </c>
      <c r="E83">
        <f>VLOOKUP(odpowiedzi[[#This Row],[Wydział]],wydzial[],2)</f>
        <v>33</v>
      </c>
      <c r="F83">
        <v>20</v>
      </c>
      <c r="G83" s="10" t="s">
        <v>27</v>
      </c>
      <c r="H83">
        <v>0</v>
      </c>
    </row>
    <row r="84" spans="1:8" x14ac:dyDescent="0.2">
      <c r="A84">
        <v>83</v>
      </c>
      <c r="B84" s="10">
        <f>VLOOKUP(odpowiedzi[[#This Row],[Płeć]],plec[],2)</f>
        <v>2</v>
      </c>
      <c r="C84">
        <v>1</v>
      </c>
      <c r="D84" s="10" t="s">
        <v>8</v>
      </c>
      <c r="E84">
        <f>VLOOKUP(odpowiedzi[[#This Row],[Wydział]],wydzial[],2)</f>
        <v>33</v>
      </c>
      <c r="F84">
        <v>20</v>
      </c>
      <c r="G84" s="10" t="s">
        <v>27</v>
      </c>
      <c r="H84">
        <v>0</v>
      </c>
    </row>
    <row r="85" spans="1:8" x14ac:dyDescent="0.2">
      <c r="A85">
        <v>84</v>
      </c>
      <c r="B85" s="10">
        <f>VLOOKUP(odpowiedzi[[#This Row],[Płeć]],plec[],2)</f>
        <v>2</v>
      </c>
      <c r="C85">
        <v>1</v>
      </c>
      <c r="D85" s="10" t="s">
        <v>8</v>
      </c>
      <c r="E85">
        <f>VLOOKUP(odpowiedzi[[#This Row],[Wydział]],wydzial[],2)</f>
        <v>33</v>
      </c>
      <c r="F85">
        <v>20</v>
      </c>
      <c r="G85" s="10" t="s">
        <v>27</v>
      </c>
      <c r="H85">
        <v>1</v>
      </c>
    </row>
    <row r="86" spans="1:8" x14ac:dyDescent="0.2">
      <c r="A86">
        <v>85</v>
      </c>
      <c r="B86" s="10">
        <f>VLOOKUP(odpowiedzi[[#This Row],[Płeć]],plec[],2)</f>
        <v>1</v>
      </c>
      <c r="C86">
        <v>0</v>
      </c>
      <c r="D86" s="10" t="s">
        <v>13</v>
      </c>
      <c r="E86">
        <f>VLOOKUP(odpowiedzi[[#This Row],[Wydział]],wydzial[],2)</f>
        <v>33</v>
      </c>
      <c r="F86">
        <v>20</v>
      </c>
      <c r="G86" s="10" t="s">
        <v>27</v>
      </c>
      <c r="H86">
        <v>0</v>
      </c>
    </row>
    <row r="87" spans="1:8" x14ac:dyDescent="0.2">
      <c r="A87">
        <v>86</v>
      </c>
      <c r="B87" s="10">
        <f>VLOOKUP(odpowiedzi[[#This Row],[Płeć]],plec[],2)</f>
        <v>2</v>
      </c>
      <c r="C87">
        <v>1</v>
      </c>
      <c r="D87" s="10" t="s">
        <v>8</v>
      </c>
      <c r="E87">
        <f>VLOOKUP(odpowiedzi[[#This Row],[Wydział]],wydzial[],2)</f>
        <v>33</v>
      </c>
      <c r="F87">
        <v>20</v>
      </c>
      <c r="G87" s="10" t="s">
        <v>27</v>
      </c>
      <c r="H87">
        <v>1</v>
      </c>
    </row>
    <row r="88" spans="1:8" x14ac:dyDescent="0.2">
      <c r="A88">
        <v>87</v>
      </c>
      <c r="B88" s="10">
        <f>VLOOKUP(odpowiedzi[[#This Row],[Płeć]],plec[],2)</f>
        <v>2</v>
      </c>
      <c r="C88">
        <v>1</v>
      </c>
      <c r="D88" s="10" t="s">
        <v>8</v>
      </c>
      <c r="E88">
        <f>VLOOKUP(odpowiedzi[[#This Row],[Wydział]],wydzial[],2)</f>
        <v>33</v>
      </c>
      <c r="F88">
        <v>20</v>
      </c>
      <c r="G88" s="10" t="s">
        <v>27</v>
      </c>
      <c r="H88">
        <v>0</v>
      </c>
    </row>
    <row r="89" spans="1:8" x14ac:dyDescent="0.2">
      <c r="A89">
        <v>88</v>
      </c>
      <c r="B89" s="10">
        <f>VLOOKUP(odpowiedzi[[#This Row],[Płeć]],plec[],2)</f>
        <v>2</v>
      </c>
      <c r="C89">
        <v>0</v>
      </c>
      <c r="D89" s="10" t="s">
        <v>8</v>
      </c>
      <c r="E89">
        <f>VLOOKUP(odpowiedzi[[#This Row],[Wydział]],wydzial[],2)</f>
        <v>33</v>
      </c>
      <c r="F89">
        <v>20</v>
      </c>
      <c r="G89" s="10" t="s">
        <v>27</v>
      </c>
      <c r="H89">
        <v>0</v>
      </c>
    </row>
    <row r="90" spans="1:8" x14ac:dyDescent="0.2">
      <c r="A90">
        <v>89</v>
      </c>
      <c r="B90" s="10">
        <f>VLOOKUP(odpowiedzi[[#This Row],[Płeć]],plec[],2)</f>
        <v>2</v>
      </c>
      <c r="C90">
        <v>1</v>
      </c>
      <c r="D90" s="10" t="s">
        <v>8</v>
      </c>
      <c r="E90">
        <f>VLOOKUP(odpowiedzi[[#This Row],[Wydział]],wydzial[],2)</f>
        <v>33</v>
      </c>
      <c r="F90">
        <v>20</v>
      </c>
      <c r="G90" s="10" t="s">
        <v>27</v>
      </c>
      <c r="H90">
        <v>0</v>
      </c>
    </row>
    <row r="91" spans="1:8" x14ac:dyDescent="0.2">
      <c r="A91">
        <v>90</v>
      </c>
      <c r="B91" s="10">
        <f>VLOOKUP(odpowiedzi[[#This Row],[Płeć]],plec[],2)</f>
        <v>2</v>
      </c>
      <c r="C91">
        <v>1</v>
      </c>
      <c r="D91" s="10" t="s">
        <v>8</v>
      </c>
      <c r="E91">
        <f>VLOOKUP(odpowiedzi[[#This Row],[Wydział]],wydzial[],2)</f>
        <v>33</v>
      </c>
      <c r="F91">
        <v>20</v>
      </c>
      <c r="G91" s="10" t="s">
        <v>27</v>
      </c>
      <c r="H91">
        <v>0</v>
      </c>
    </row>
    <row r="92" spans="1:8" x14ac:dyDescent="0.2">
      <c r="A92">
        <v>91</v>
      </c>
      <c r="B92" s="10">
        <f>VLOOKUP(odpowiedzi[[#This Row],[Płeć]],plec[],2)</f>
        <v>2</v>
      </c>
      <c r="C92">
        <v>0</v>
      </c>
      <c r="D92" s="10" t="s">
        <v>8</v>
      </c>
      <c r="E92">
        <f>VLOOKUP(odpowiedzi[[#This Row],[Wydział]],wydzial[],2)</f>
        <v>33</v>
      </c>
      <c r="F92">
        <v>20</v>
      </c>
      <c r="G92" s="10" t="s">
        <v>27</v>
      </c>
      <c r="H92">
        <v>1</v>
      </c>
    </row>
    <row r="93" spans="1:8" x14ac:dyDescent="0.2">
      <c r="A93">
        <v>92</v>
      </c>
      <c r="B93" s="10">
        <f>VLOOKUP(odpowiedzi[[#This Row],[Płeć]],plec[],2)</f>
        <v>2</v>
      </c>
      <c r="C93">
        <v>1</v>
      </c>
      <c r="D93" s="10" t="s">
        <v>8</v>
      </c>
      <c r="E93">
        <f>VLOOKUP(odpowiedzi[[#This Row],[Wydział]],wydzial[],2)</f>
        <v>33</v>
      </c>
      <c r="F93">
        <v>20</v>
      </c>
      <c r="G93" s="10" t="s">
        <v>27</v>
      </c>
      <c r="H93">
        <v>1</v>
      </c>
    </row>
    <row r="94" spans="1:8" x14ac:dyDescent="0.2">
      <c r="A94">
        <v>93</v>
      </c>
      <c r="B94" s="10">
        <f>VLOOKUP(odpowiedzi[[#This Row],[Płeć]],plec[],2)</f>
        <v>2</v>
      </c>
      <c r="C94">
        <v>1</v>
      </c>
      <c r="D94" s="10" t="s">
        <v>8</v>
      </c>
      <c r="E94">
        <f>VLOOKUP(odpowiedzi[[#This Row],[Wydział]],wydzial[],2)</f>
        <v>4</v>
      </c>
      <c r="F94">
        <v>21</v>
      </c>
      <c r="G94" s="10" t="s">
        <v>157</v>
      </c>
      <c r="H94">
        <v>1</v>
      </c>
    </row>
    <row r="95" spans="1:8" x14ac:dyDescent="0.2">
      <c r="A95">
        <v>94</v>
      </c>
      <c r="B95" s="10">
        <f>VLOOKUP(odpowiedzi[[#This Row],[Płeć]],plec[],2)</f>
        <v>1</v>
      </c>
      <c r="C95">
        <v>0</v>
      </c>
      <c r="D95" s="10" t="s">
        <v>13</v>
      </c>
      <c r="E95">
        <f>VLOOKUP(odpowiedzi[[#This Row],[Wydział]],wydzial[],2)</f>
        <v>5</v>
      </c>
      <c r="F95">
        <v>21</v>
      </c>
      <c r="G95" s="10" t="s">
        <v>83</v>
      </c>
      <c r="H95">
        <v>0</v>
      </c>
    </row>
    <row r="96" spans="1:8" x14ac:dyDescent="0.2">
      <c r="A96">
        <v>95</v>
      </c>
      <c r="B96" s="10">
        <f>VLOOKUP(odpowiedzi[[#This Row],[Płeć]],plec[],2)</f>
        <v>1</v>
      </c>
      <c r="C96">
        <v>1</v>
      </c>
      <c r="D96" s="10" t="s">
        <v>13</v>
      </c>
      <c r="E96">
        <f>VLOOKUP(odpowiedzi[[#This Row],[Wydział]],wydzial[],2)</f>
        <v>5</v>
      </c>
      <c r="F96">
        <v>21</v>
      </c>
      <c r="G96" s="10" t="s">
        <v>83</v>
      </c>
      <c r="H96">
        <v>1</v>
      </c>
    </row>
    <row r="97" spans="1:8" x14ac:dyDescent="0.2">
      <c r="A97">
        <v>96</v>
      </c>
      <c r="B97" s="10">
        <f>VLOOKUP(odpowiedzi[[#This Row],[Płeć]],plec[],2)</f>
        <v>1</v>
      </c>
      <c r="C97">
        <v>0</v>
      </c>
      <c r="D97" s="10" t="s">
        <v>13</v>
      </c>
      <c r="E97">
        <f>VLOOKUP(odpowiedzi[[#This Row],[Wydział]],wydzial[],2)</f>
        <v>6</v>
      </c>
      <c r="F97">
        <v>21</v>
      </c>
      <c r="G97" s="10" t="s">
        <v>162</v>
      </c>
      <c r="H97">
        <v>0</v>
      </c>
    </row>
    <row r="98" spans="1:8" x14ac:dyDescent="0.2">
      <c r="A98">
        <v>97</v>
      </c>
      <c r="B98" s="10">
        <f>VLOOKUP(odpowiedzi[[#This Row],[Płeć]],plec[],2)</f>
        <v>2</v>
      </c>
      <c r="C98">
        <v>1</v>
      </c>
      <c r="D98" s="10" t="s">
        <v>8</v>
      </c>
      <c r="E98">
        <f>VLOOKUP(odpowiedzi[[#This Row],[Wydział]],wydzial[],2)</f>
        <v>7</v>
      </c>
      <c r="F98">
        <v>21</v>
      </c>
      <c r="G98" s="10" t="s">
        <v>51</v>
      </c>
      <c r="H98">
        <v>0</v>
      </c>
    </row>
    <row r="99" spans="1:8" x14ac:dyDescent="0.2">
      <c r="A99">
        <v>98</v>
      </c>
      <c r="B99" s="10">
        <f>VLOOKUP(odpowiedzi[[#This Row],[Płeć]],plec[],2)</f>
        <v>1</v>
      </c>
      <c r="C99">
        <v>1</v>
      </c>
      <c r="D99" s="10" t="s">
        <v>13</v>
      </c>
      <c r="E99">
        <f>VLOOKUP(odpowiedzi[[#This Row],[Wydział]],wydzial[],2)</f>
        <v>18</v>
      </c>
      <c r="F99">
        <v>21</v>
      </c>
      <c r="G99" s="10" t="s">
        <v>145</v>
      </c>
      <c r="H99">
        <v>1</v>
      </c>
    </row>
    <row r="100" spans="1:8" x14ac:dyDescent="0.2">
      <c r="A100">
        <v>99</v>
      </c>
      <c r="B100" s="10">
        <f>VLOOKUP(odpowiedzi[[#This Row],[Płeć]],plec[],2)</f>
        <v>2</v>
      </c>
      <c r="C100">
        <v>1</v>
      </c>
      <c r="D100" s="10" t="s">
        <v>8</v>
      </c>
      <c r="E100">
        <f>VLOOKUP(odpowiedzi[[#This Row],[Wydział]],wydzial[],2)</f>
        <v>18</v>
      </c>
      <c r="F100">
        <v>21</v>
      </c>
      <c r="G100" s="10" t="s">
        <v>145</v>
      </c>
      <c r="H100">
        <v>0</v>
      </c>
    </row>
    <row r="101" spans="1:8" x14ac:dyDescent="0.2">
      <c r="A101">
        <v>100</v>
      </c>
      <c r="B101" s="10">
        <f>VLOOKUP(odpowiedzi[[#This Row],[Płeć]],plec[],2)</f>
        <v>1</v>
      </c>
      <c r="C101">
        <v>1</v>
      </c>
      <c r="D101" s="10" t="s">
        <v>13</v>
      </c>
      <c r="E101">
        <f>VLOOKUP(odpowiedzi[[#This Row],[Wydział]],wydzial[],2)</f>
        <v>19</v>
      </c>
      <c r="F101">
        <v>21</v>
      </c>
      <c r="G101" s="10" t="s">
        <v>141</v>
      </c>
      <c r="H101">
        <v>0</v>
      </c>
    </row>
    <row r="102" spans="1:8" x14ac:dyDescent="0.2">
      <c r="A102">
        <v>101</v>
      </c>
      <c r="B102" s="10">
        <f>VLOOKUP(odpowiedzi[[#This Row],[Płeć]],plec[],2)</f>
        <v>2</v>
      </c>
      <c r="C102">
        <v>0</v>
      </c>
      <c r="D102" s="10" t="s">
        <v>8</v>
      </c>
      <c r="E102">
        <f>VLOOKUP(odpowiedzi[[#This Row],[Wydział]],wydzial[],2)</f>
        <v>19</v>
      </c>
      <c r="F102">
        <v>21</v>
      </c>
      <c r="G102" s="10" t="s">
        <v>141</v>
      </c>
      <c r="H102">
        <v>0</v>
      </c>
    </row>
    <row r="103" spans="1:8" x14ac:dyDescent="0.2">
      <c r="A103">
        <v>102</v>
      </c>
      <c r="B103" s="10">
        <f>VLOOKUP(odpowiedzi[[#This Row],[Płeć]],plec[],2)</f>
        <v>2</v>
      </c>
      <c r="C103">
        <v>0</v>
      </c>
      <c r="D103" s="10" t="s">
        <v>8</v>
      </c>
      <c r="E103">
        <f>VLOOKUP(odpowiedzi[[#This Row],[Wydział]],wydzial[],2)</f>
        <v>19</v>
      </c>
      <c r="F103">
        <v>21</v>
      </c>
      <c r="G103" s="10" t="s">
        <v>141</v>
      </c>
      <c r="H103">
        <v>0</v>
      </c>
    </row>
    <row r="104" spans="1:8" x14ac:dyDescent="0.2">
      <c r="A104">
        <v>103</v>
      </c>
      <c r="B104" s="10">
        <f>VLOOKUP(odpowiedzi[[#This Row],[Płeć]],plec[],2)</f>
        <v>2</v>
      </c>
      <c r="C104">
        <v>1</v>
      </c>
      <c r="D104" s="10" t="s">
        <v>8</v>
      </c>
      <c r="E104">
        <f>VLOOKUP(odpowiedzi[[#This Row],[Wydział]],wydzial[],2)</f>
        <v>19</v>
      </c>
      <c r="F104">
        <v>21</v>
      </c>
      <c r="G104" s="10" t="s">
        <v>141</v>
      </c>
      <c r="H104">
        <v>1</v>
      </c>
    </row>
    <row r="105" spans="1:8" x14ac:dyDescent="0.2">
      <c r="A105">
        <v>104</v>
      </c>
      <c r="B105" s="10">
        <f>VLOOKUP(odpowiedzi[[#This Row],[Płeć]],plec[],2)</f>
        <v>2</v>
      </c>
      <c r="C105">
        <v>1</v>
      </c>
      <c r="D105" s="10" t="s">
        <v>8</v>
      </c>
      <c r="E105">
        <f>VLOOKUP(odpowiedzi[[#This Row],[Wydział]],wydzial[],2)</f>
        <v>19</v>
      </c>
      <c r="F105">
        <v>21</v>
      </c>
      <c r="G105" s="10" t="s">
        <v>141</v>
      </c>
      <c r="H105">
        <v>1</v>
      </c>
    </row>
    <row r="106" spans="1:8" x14ac:dyDescent="0.2">
      <c r="A106">
        <v>105</v>
      </c>
      <c r="B106" s="10">
        <f>VLOOKUP(odpowiedzi[[#This Row],[Płeć]],plec[],2)</f>
        <v>2</v>
      </c>
      <c r="C106">
        <v>1</v>
      </c>
      <c r="D106" s="10" t="s">
        <v>8</v>
      </c>
      <c r="E106">
        <f>VLOOKUP(odpowiedzi[[#This Row],[Wydział]],wydzial[],2)</f>
        <v>19</v>
      </c>
      <c r="F106">
        <v>21</v>
      </c>
      <c r="G106" s="10" t="s">
        <v>141</v>
      </c>
      <c r="H106">
        <v>1</v>
      </c>
    </row>
    <row r="107" spans="1:8" x14ac:dyDescent="0.2">
      <c r="A107">
        <v>106</v>
      </c>
      <c r="B107" s="10">
        <f>VLOOKUP(odpowiedzi[[#This Row],[Płeć]],plec[],2)</f>
        <v>2</v>
      </c>
      <c r="C107">
        <v>0</v>
      </c>
      <c r="D107" s="10" t="s">
        <v>8</v>
      </c>
      <c r="E107">
        <f>VLOOKUP(odpowiedzi[[#This Row],[Wydział]],wydzial[],2)</f>
        <v>19</v>
      </c>
      <c r="F107">
        <v>21</v>
      </c>
      <c r="G107" s="10" t="s">
        <v>141</v>
      </c>
      <c r="H107">
        <v>0</v>
      </c>
    </row>
    <row r="108" spans="1:8" x14ac:dyDescent="0.2">
      <c r="A108">
        <v>107</v>
      </c>
      <c r="B108" s="10">
        <f>VLOOKUP(odpowiedzi[[#This Row],[Płeć]],plec[],2)</f>
        <v>2</v>
      </c>
      <c r="C108">
        <v>1</v>
      </c>
      <c r="D108" s="10" t="s">
        <v>8</v>
      </c>
      <c r="E108">
        <f>VLOOKUP(odpowiedzi[[#This Row],[Wydział]],wydzial[],2)</f>
        <v>19</v>
      </c>
      <c r="F108">
        <v>21</v>
      </c>
      <c r="G108" s="10" t="s">
        <v>141</v>
      </c>
      <c r="H108">
        <v>1</v>
      </c>
    </row>
    <row r="109" spans="1:8" x14ac:dyDescent="0.2">
      <c r="A109">
        <v>108</v>
      </c>
      <c r="B109" s="10">
        <f>VLOOKUP(odpowiedzi[[#This Row],[Płeć]],plec[],2)</f>
        <v>2</v>
      </c>
      <c r="C109">
        <v>1</v>
      </c>
      <c r="D109" s="10" t="s">
        <v>8</v>
      </c>
      <c r="E109">
        <f>VLOOKUP(odpowiedzi[[#This Row],[Wydział]],wydzial[],2)</f>
        <v>19</v>
      </c>
      <c r="F109">
        <v>21</v>
      </c>
      <c r="G109" s="10" t="s">
        <v>141</v>
      </c>
      <c r="H109">
        <v>0</v>
      </c>
    </row>
    <row r="110" spans="1:8" x14ac:dyDescent="0.2">
      <c r="A110">
        <v>109</v>
      </c>
      <c r="B110" s="10">
        <f>VLOOKUP(odpowiedzi[[#This Row],[Płeć]],plec[],2)</f>
        <v>2</v>
      </c>
      <c r="C110">
        <v>1</v>
      </c>
      <c r="D110" s="10" t="s">
        <v>8</v>
      </c>
      <c r="E110">
        <f>VLOOKUP(odpowiedzi[[#This Row],[Wydział]],wydzial[],2)</f>
        <v>20</v>
      </c>
      <c r="F110">
        <v>21</v>
      </c>
      <c r="G110" s="10" t="s">
        <v>153</v>
      </c>
      <c r="H110">
        <v>0</v>
      </c>
    </row>
    <row r="111" spans="1:8" x14ac:dyDescent="0.2">
      <c r="A111">
        <v>110</v>
      </c>
      <c r="B111" s="10">
        <f>VLOOKUP(odpowiedzi[[#This Row],[Płeć]],plec[],2)</f>
        <v>2</v>
      </c>
      <c r="C111">
        <v>1</v>
      </c>
      <c r="D111" s="10" t="s">
        <v>8</v>
      </c>
      <c r="E111">
        <f>VLOOKUP(odpowiedzi[[#This Row],[Wydział]],wydzial[],2)</f>
        <v>21</v>
      </c>
      <c r="F111">
        <v>21</v>
      </c>
      <c r="G111" s="10" t="s">
        <v>76</v>
      </c>
      <c r="H111">
        <v>1</v>
      </c>
    </row>
    <row r="112" spans="1:8" x14ac:dyDescent="0.2">
      <c r="A112">
        <v>111</v>
      </c>
      <c r="B112" s="10">
        <f>VLOOKUP(odpowiedzi[[#This Row],[Płeć]],plec[],2)</f>
        <v>1</v>
      </c>
      <c r="C112">
        <v>0</v>
      </c>
      <c r="D112" s="10" t="s">
        <v>13</v>
      </c>
      <c r="E112">
        <f>VLOOKUP(odpowiedzi[[#This Row],[Wydział]],wydzial[],2)</f>
        <v>21</v>
      </c>
      <c r="F112">
        <v>21</v>
      </c>
      <c r="G112" s="10" t="s">
        <v>76</v>
      </c>
      <c r="H112">
        <v>0</v>
      </c>
    </row>
    <row r="113" spans="1:8" x14ac:dyDescent="0.2">
      <c r="A113">
        <v>112</v>
      </c>
      <c r="B113" s="10">
        <f>VLOOKUP(odpowiedzi[[#This Row],[Płeć]],plec[],2)</f>
        <v>2</v>
      </c>
      <c r="C113">
        <v>1</v>
      </c>
      <c r="D113" s="10" t="s">
        <v>8</v>
      </c>
      <c r="E113">
        <f>VLOOKUP(odpowiedzi[[#This Row],[Wydział]],wydzial[],2)</f>
        <v>21</v>
      </c>
      <c r="F113">
        <v>21</v>
      </c>
      <c r="G113" s="10" t="s">
        <v>76</v>
      </c>
      <c r="H113">
        <v>0</v>
      </c>
    </row>
    <row r="114" spans="1:8" x14ac:dyDescent="0.2">
      <c r="A114">
        <v>113</v>
      </c>
      <c r="B114" s="10">
        <f>VLOOKUP(odpowiedzi[[#This Row],[Płeć]],plec[],2)</f>
        <v>2</v>
      </c>
      <c r="C114">
        <v>1</v>
      </c>
      <c r="D114" s="10" t="s">
        <v>8</v>
      </c>
      <c r="E114">
        <f>VLOOKUP(odpowiedzi[[#This Row],[Wydział]],wydzial[],2)</f>
        <v>21</v>
      </c>
      <c r="F114">
        <v>21</v>
      </c>
      <c r="G114" s="10" t="s">
        <v>76</v>
      </c>
      <c r="H114">
        <v>1</v>
      </c>
    </row>
    <row r="115" spans="1:8" x14ac:dyDescent="0.2">
      <c r="A115">
        <v>114</v>
      </c>
      <c r="B115" s="10">
        <f>VLOOKUP(odpowiedzi[[#This Row],[Płeć]],plec[],2)</f>
        <v>2</v>
      </c>
      <c r="C115">
        <v>1</v>
      </c>
      <c r="D115" s="10" t="s">
        <v>8</v>
      </c>
      <c r="E115">
        <f>VLOOKUP(odpowiedzi[[#This Row],[Wydział]],wydzial[],2)</f>
        <v>21</v>
      </c>
      <c r="F115">
        <v>21</v>
      </c>
      <c r="G115" s="10" t="s">
        <v>76</v>
      </c>
      <c r="H115">
        <v>1</v>
      </c>
    </row>
    <row r="116" spans="1:8" x14ac:dyDescent="0.2">
      <c r="A116">
        <v>115</v>
      </c>
      <c r="B116" s="10">
        <f>VLOOKUP(odpowiedzi[[#This Row],[Płeć]],plec[],2)</f>
        <v>2</v>
      </c>
      <c r="C116">
        <v>1</v>
      </c>
      <c r="D116" s="10" t="s">
        <v>8</v>
      </c>
      <c r="E116">
        <f>VLOOKUP(odpowiedzi[[#This Row],[Wydział]],wydzial[],2)</f>
        <v>22</v>
      </c>
      <c r="F116">
        <v>21</v>
      </c>
      <c r="G116" s="10" t="s">
        <v>69</v>
      </c>
      <c r="H116">
        <v>1</v>
      </c>
    </row>
    <row r="117" spans="1:8" x14ac:dyDescent="0.2">
      <c r="A117">
        <v>116</v>
      </c>
      <c r="B117" s="10">
        <f>VLOOKUP(odpowiedzi[[#This Row],[Płeć]],plec[],2)</f>
        <v>1</v>
      </c>
      <c r="C117">
        <v>0</v>
      </c>
      <c r="D117" s="10" t="s">
        <v>13</v>
      </c>
      <c r="E117">
        <f>VLOOKUP(odpowiedzi[[#This Row],[Wydział]],wydzial[],2)</f>
        <v>22</v>
      </c>
      <c r="F117">
        <v>21</v>
      </c>
      <c r="G117" s="10" t="s">
        <v>69</v>
      </c>
      <c r="H117">
        <v>1</v>
      </c>
    </row>
    <row r="118" spans="1:8" x14ac:dyDescent="0.2">
      <c r="A118">
        <v>117</v>
      </c>
      <c r="B118" s="10">
        <f>VLOOKUP(odpowiedzi[[#This Row],[Płeć]],plec[],2)</f>
        <v>2</v>
      </c>
      <c r="C118">
        <v>1</v>
      </c>
      <c r="D118" s="10" t="s">
        <v>8</v>
      </c>
      <c r="E118">
        <f>VLOOKUP(odpowiedzi[[#This Row],[Wydział]],wydzial[],2)</f>
        <v>22</v>
      </c>
      <c r="F118">
        <v>21</v>
      </c>
      <c r="G118" s="10" t="s">
        <v>69</v>
      </c>
      <c r="H118">
        <v>1</v>
      </c>
    </row>
    <row r="119" spans="1:8" x14ac:dyDescent="0.2">
      <c r="A119">
        <v>118</v>
      </c>
      <c r="B119" s="10">
        <f>VLOOKUP(odpowiedzi[[#This Row],[Płeć]],plec[],2)</f>
        <v>2</v>
      </c>
      <c r="C119">
        <v>0</v>
      </c>
      <c r="D119" s="10" t="s">
        <v>8</v>
      </c>
      <c r="E119">
        <f>VLOOKUP(odpowiedzi[[#This Row],[Wydział]],wydzial[],2)</f>
        <v>22</v>
      </c>
      <c r="F119">
        <v>21</v>
      </c>
      <c r="G119" s="10" t="s">
        <v>69</v>
      </c>
      <c r="H119">
        <v>0</v>
      </c>
    </row>
    <row r="120" spans="1:8" x14ac:dyDescent="0.2">
      <c r="A120">
        <v>119</v>
      </c>
      <c r="B120" s="10">
        <f>VLOOKUP(odpowiedzi[[#This Row],[Płeć]],plec[],2)</f>
        <v>2</v>
      </c>
      <c r="C120">
        <v>1</v>
      </c>
      <c r="D120" s="10" t="s">
        <v>8</v>
      </c>
      <c r="E120">
        <f>VLOOKUP(odpowiedzi[[#This Row],[Wydział]],wydzial[],2)</f>
        <v>25</v>
      </c>
      <c r="F120">
        <v>21</v>
      </c>
      <c r="G120" s="10" t="s">
        <v>154</v>
      </c>
      <c r="H120">
        <v>1</v>
      </c>
    </row>
    <row r="121" spans="1:8" x14ac:dyDescent="0.2">
      <c r="A121">
        <v>120</v>
      </c>
      <c r="B121" s="10">
        <f>VLOOKUP(odpowiedzi[[#This Row],[Płeć]],plec[],2)</f>
        <v>1</v>
      </c>
      <c r="C121">
        <v>0</v>
      </c>
      <c r="D121" s="10" t="s">
        <v>13</v>
      </c>
      <c r="E121">
        <f>VLOOKUP(odpowiedzi[[#This Row],[Wydział]],wydzial[],2)</f>
        <v>26</v>
      </c>
      <c r="F121">
        <v>21</v>
      </c>
      <c r="G121" s="10" t="s">
        <v>62</v>
      </c>
      <c r="H121">
        <v>0</v>
      </c>
    </row>
    <row r="122" spans="1:8" x14ac:dyDescent="0.2">
      <c r="A122">
        <v>121</v>
      </c>
      <c r="B122" s="10">
        <f>VLOOKUP(odpowiedzi[[#This Row],[Płeć]],plec[],2)</f>
        <v>2</v>
      </c>
      <c r="C122">
        <v>1</v>
      </c>
      <c r="D122" s="10" t="s">
        <v>8</v>
      </c>
      <c r="E122">
        <f>VLOOKUP(odpowiedzi[[#This Row],[Wydział]],wydzial[],2)</f>
        <v>28</v>
      </c>
      <c r="F122">
        <v>21</v>
      </c>
      <c r="G122" s="10" t="s">
        <v>146</v>
      </c>
      <c r="H122">
        <v>0</v>
      </c>
    </row>
    <row r="123" spans="1:8" x14ac:dyDescent="0.2">
      <c r="A123">
        <v>122</v>
      </c>
      <c r="B123" s="10">
        <f>VLOOKUP(odpowiedzi[[#This Row],[Płeć]],plec[],2)</f>
        <v>2</v>
      </c>
      <c r="C123">
        <v>0</v>
      </c>
      <c r="D123" s="10" t="s">
        <v>8</v>
      </c>
      <c r="E123">
        <f>VLOOKUP(odpowiedzi[[#This Row],[Wydział]],wydzial[],2)</f>
        <v>28</v>
      </c>
      <c r="F123">
        <v>21</v>
      </c>
      <c r="G123" s="10" t="s">
        <v>146</v>
      </c>
      <c r="H123">
        <v>0</v>
      </c>
    </row>
    <row r="124" spans="1:8" x14ac:dyDescent="0.2">
      <c r="A124">
        <v>123</v>
      </c>
      <c r="B124" s="10">
        <f>VLOOKUP(odpowiedzi[[#This Row],[Płeć]],plec[],2)</f>
        <v>2</v>
      </c>
      <c r="C124">
        <v>1</v>
      </c>
      <c r="D124" s="10" t="s">
        <v>8</v>
      </c>
      <c r="E124">
        <f>VLOOKUP(odpowiedzi[[#This Row],[Wydział]],wydzial[],2)</f>
        <v>28</v>
      </c>
      <c r="F124">
        <v>21</v>
      </c>
      <c r="G124" s="10" t="s">
        <v>146</v>
      </c>
      <c r="H124">
        <v>1</v>
      </c>
    </row>
    <row r="125" spans="1:8" x14ac:dyDescent="0.2">
      <c r="A125">
        <v>124</v>
      </c>
      <c r="B125" s="10">
        <f>VLOOKUP(odpowiedzi[[#This Row],[Płeć]],plec[],2)</f>
        <v>2</v>
      </c>
      <c r="C125">
        <v>1</v>
      </c>
      <c r="D125" s="10" t="s">
        <v>8</v>
      </c>
      <c r="E125">
        <f>VLOOKUP(odpowiedzi[[#This Row],[Wydział]],wydzial[],2)</f>
        <v>28</v>
      </c>
      <c r="F125">
        <v>21</v>
      </c>
      <c r="G125" s="10" t="s">
        <v>146</v>
      </c>
      <c r="H125">
        <v>1</v>
      </c>
    </row>
    <row r="126" spans="1:8" x14ac:dyDescent="0.2">
      <c r="A126">
        <v>125</v>
      </c>
      <c r="B126" s="10">
        <f>VLOOKUP(odpowiedzi[[#This Row],[Płeć]],plec[],2)</f>
        <v>2</v>
      </c>
      <c r="C126">
        <v>0</v>
      </c>
      <c r="D126" s="10" t="s">
        <v>8</v>
      </c>
      <c r="E126">
        <f>VLOOKUP(odpowiedzi[[#This Row],[Wydział]],wydzial[],2)</f>
        <v>29</v>
      </c>
      <c r="F126">
        <v>21</v>
      </c>
      <c r="G126" s="10" t="s">
        <v>56</v>
      </c>
      <c r="H126">
        <v>0</v>
      </c>
    </row>
    <row r="127" spans="1:8" x14ac:dyDescent="0.2">
      <c r="A127">
        <v>126</v>
      </c>
      <c r="B127" s="10">
        <f>VLOOKUP(odpowiedzi[[#This Row],[Płeć]],plec[],2)</f>
        <v>2</v>
      </c>
      <c r="C127">
        <v>1</v>
      </c>
      <c r="D127" s="10" t="s">
        <v>8</v>
      </c>
      <c r="E127">
        <f>VLOOKUP(odpowiedzi[[#This Row],[Wydział]],wydzial[],2)</f>
        <v>29</v>
      </c>
      <c r="F127">
        <v>21</v>
      </c>
      <c r="G127" s="10" t="s">
        <v>56</v>
      </c>
      <c r="H127">
        <v>0</v>
      </c>
    </row>
    <row r="128" spans="1:8" x14ac:dyDescent="0.2">
      <c r="A128">
        <v>127</v>
      </c>
      <c r="B128" s="10">
        <f>VLOOKUP(odpowiedzi[[#This Row],[Płeć]],plec[],2)</f>
        <v>2</v>
      </c>
      <c r="C128">
        <v>1</v>
      </c>
      <c r="D128" s="10" t="s">
        <v>8</v>
      </c>
      <c r="E128">
        <f>VLOOKUP(odpowiedzi[[#This Row],[Wydział]],wydzial[],2)</f>
        <v>29</v>
      </c>
      <c r="F128">
        <v>21</v>
      </c>
      <c r="G128" s="10" t="s">
        <v>56</v>
      </c>
      <c r="H128">
        <v>1</v>
      </c>
    </row>
    <row r="129" spans="1:8" x14ac:dyDescent="0.2">
      <c r="A129">
        <v>128</v>
      </c>
      <c r="B129" s="10">
        <f>VLOOKUP(odpowiedzi[[#This Row],[Płeć]],plec[],2)</f>
        <v>2</v>
      </c>
      <c r="C129">
        <v>1</v>
      </c>
      <c r="D129" s="10" t="s">
        <v>8</v>
      </c>
      <c r="E129">
        <f>VLOOKUP(odpowiedzi[[#This Row],[Wydział]],wydzial[],2)</f>
        <v>30</v>
      </c>
      <c r="F129">
        <v>21</v>
      </c>
      <c r="G129" s="10" t="s">
        <v>159</v>
      </c>
      <c r="H129">
        <v>0</v>
      </c>
    </row>
    <row r="130" spans="1:8" x14ac:dyDescent="0.2">
      <c r="A130">
        <v>129</v>
      </c>
      <c r="B130" s="10">
        <f>VLOOKUP(odpowiedzi[[#This Row],[Płeć]],plec[],2)</f>
        <v>2</v>
      </c>
      <c r="C130">
        <v>1</v>
      </c>
      <c r="D130" s="10" t="s">
        <v>8</v>
      </c>
      <c r="E130">
        <f>VLOOKUP(odpowiedzi[[#This Row],[Wydział]],wydzial[],2)</f>
        <v>31</v>
      </c>
      <c r="F130">
        <v>21</v>
      </c>
      <c r="G130" s="10" t="s">
        <v>155</v>
      </c>
      <c r="H130">
        <v>0</v>
      </c>
    </row>
    <row r="131" spans="1:8" x14ac:dyDescent="0.2">
      <c r="A131">
        <v>130</v>
      </c>
      <c r="B131" s="10">
        <f>VLOOKUP(odpowiedzi[[#This Row],[Płeć]],plec[],2)</f>
        <v>2</v>
      </c>
      <c r="C131">
        <v>1</v>
      </c>
      <c r="D131" s="10" t="s">
        <v>8</v>
      </c>
      <c r="E131">
        <f>VLOOKUP(odpowiedzi[[#This Row],[Wydział]],wydzial[],2)</f>
        <v>33</v>
      </c>
      <c r="F131">
        <v>21</v>
      </c>
      <c r="G131" s="10" t="s">
        <v>27</v>
      </c>
      <c r="H131">
        <v>0</v>
      </c>
    </row>
    <row r="132" spans="1:8" x14ac:dyDescent="0.2">
      <c r="A132">
        <v>131</v>
      </c>
      <c r="B132" s="10">
        <f>VLOOKUP(odpowiedzi[[#This Row],[Płeć]],plec[],2)</f>
        <v>2</v>
      </c>
      <c r="C132">
        <v>1</v>
      </c>
      <c r="D132" s="10" t="s">
        <v>8</v>
      </c>
      <c r="E132">
        <f>VLOOKUP(odpowiedzi[[#This Row],[Wydział]],wydzial[],2)</f>
        <v>33</v>
      </c>
      <c r="F132">
        <v>21</v>
      </c>
      <c r="G132" s="10" t="s">
        <v>27</v>
      </c>
      <c r="H132">
        <v>1</v>
      </c>
    </row>
    <row r="133" spans="1:8" x14ac:dyDescent="0.2">
      <c r="A133">
        <v>132</v>
      </c>
      <c r="B133" s="10">
        <f>VLOOKUP(odpowiedzi[[#This Row],[Płeć]],plec[],2)</f>
        <v>2</v>
      </c>
      <c r="C133">
        <v>1</v>
      </c>
      <c r="D133" s="10" t="s">
        <v>8</v>
      </c>
      <c r="E133">
        <f>VLOOKUP(odpowiedzi[[#This Row],[Wydział]],wydzial[],2)</f>
        <v>33</v>
      </c>
      <c r="F133">
        <v>21</v>
      </c>
      <c r="G133" s="10" t="s">
        <v>27</v>
      </c>
      <c r="H133">
        <v>0</v>
      </c>
    </row>
    <row r="134" spans="1:8" x14ac:dyDescent="0.2">
      <c r="A134">
        <v>133</v>
      </c>
      <c r="B134" s="10">
        <f>VLOOKUP(odpowiedzi[[#This Row],[Płeć]],plec[],2)</f>
        <v>2</v>
      </c>
      <c r="C134">
        <v>1</v>
      </c>
      <c r="D134" s="10" t="s">
        <v>8</v>
      </c>
      <c r="E134">
        <f>VLOOKUP(odpowiedzi[[#This Row],[Wydział]],wydzial[],2)</f>
        <v>33</v>
      </c>
      <c r="F134">
        <v>21</v>
      </c>
      <c r="G134" s="10" t="s">
        <v>27</v>
      </c>
      <c r="H134">
        <v>0</v>
      </c>
    </row>
    <row r="135" spans="1:8" x14ac:dyDescent="0.2">
      <c r="A135">
        <v>134</v>
      </c>
      <c r="B135" s="10">
        <f>VLOOKUP(odpowiedzi[[#This Row],[Płeć]],plec[],2)</f>
        <v>2</v>
      </c>
      <c r="C135">
        <v>0</v>
      </c>
      <c r="D135" s="10" t="s">
        <v>8</v>
      </c>
      <c r="E135">
        <f>VLOOKUP(odpowiedzi[[#This Row],[Wydział]],wydzial[],2)</f>
        <v>33</v>
      </c>
      <c r="F135">
        <v>21</v>
      </c>
      <c r="G135" s="10" t="s">
        <v>27</v>
      </c>
      <c r="H135">
        <v>1</v>
      </c>
    </row>
    <row r="136" spans="1:8" x14ac:dyDescent="0.2">
      <c r="A136">
        <v>135</v>
      </c>
      <c r="B136" s="10">
        <f>VLOOKUP(odpowiedzi[[#This Row],[Płeć]],plec[],2)</f>
        <v>2</v>
      </c>
      <c r="C136">
        <v>1</v>
      </c>
      <c r="D136" s="10" t="s">
        <v>8</v>
      </c>
      <c r="E136">
        <f>VLOOKUP(odpowiedzi[[#This Row],[Wydział]],wydzial[],2)</f>
        <v>33</v>
      </c>
      <c r="F136">
        <v>21</v>
      </c>
      <c r="G136" s="10" t="s">
        <v>27</v>
      </c>
      <c r="H136">
        <v>1</v>
      </c>
    </row>
    <row r="137" spans="1:8" x14ac:dyDescent="0.2">
      <c r="A137">
        <v>136</v>
      </c>
      <c r="B137" s="10">
        <f>VLOOKUP(odpowiedzi[[#This Row],[Płeć]],plec[],2)</f>
        <v>2</v>
      </c>
      <c r="C137">
        <v>0</v>
      </c>
      <c r="D137" s="10" t="s">
        <v>8</v>
      </c>
      <c r="E137">
        <f>VLOOKUP(odpowiedzi[[#This Row],[Wydział]],wydzial[],2)</f>
        <v>33</v>
      </c>
      <c r="F137">
        <v>21</v>
      </c>
      <c r="G137" s="10" t="s">
        <v>27</v>
      </c>
      <c r="H137">
        <v>0</v>
      </c>
    </row>
    <row r="138" spans="1:8" x14ac:dyDescent="0.2">
      <c r="A138">
        <v>137</v>
      </c>
      <c r="B138" s="10">
        <f>VLOOKUP(odpowiedzi[[#This Row],[Płeć]],plec[],2)</f>
        <v>2</v>
      </c>
      <c r="C138">
        <v>1</v>
      </c>
      <c r="D138" s="10" t="s">
        <v>8</v>
      </c>
      <c r="E138">
        <f>VLOOKUP(odpowiedzi[[#This Row],[Wydział]],wydzial[],2)</f>
        <v>33</v>
      </c>
      <c r="F138">
        <v>21</v>
      </c>
      <c r="G138" s="10" t="s">
        <v>27</v>
      </c>
      <c r="H138">
        <v>1</v>
      </c>
    </row>
    <row r="139" spans="1:8" x14ac:dyDescent="0.2">
      <c r="A139">
        <v>138</v>
      </c>
      <c r="B139" s="10">
        <f>VLOOKUP(odpowiedzi[[#This Row],[Płeć]],plec[],2)</f>
        <v>2</v>
      </c>
      <c r="C139">
        <v>1</v>
      </c>
      <c r="D139" s="10" t="s">
        <v>8</v>
      </c>
      <c r="E139">
        <f>VLOOKUP(odpowiedzi[[#This Row],[Wydział]],wydzial[],2)</f>
        <v>33</v>
      </c>
      <c r="F139">
        <v>21</v>
      </c>
      <c r="G139" s="10" t="s">
        <v>27</v>
      </c>
      <c r="H139">
        <v>1</v>
      </c>
    </row>
    <row r="140" spans="1:8" x14ac:dyDescent="0.2">
      <c r="A140">
        <v>139</v>
      </c>
      <c r="B140" s="10">
        <f>VLOOKUP(odpowiedzi[[#This Row],[Płeć]],plec[],2)</f>
        <v>2</v>
      </c>
      <c r="C140">
        <v>1</v>
      </c>
      <c r="D140" s="10" t="s">
        <v>8</v>
      </c>
      <c r="E140">
        <f>VLOOKUP(odpowiedzi[[#This Row],[Wydział]],wydzial[],2)</f>
        <v>33</v>
      </c>
      <c r="F140">
        <v>21</v>
      </c>
      <c r="G140" s="10" t="s">
        <v>27</v>
      </c>
      <c r="H140">
        <v>0</v>
      </c>
    </row>
    <row r="141" spans="1:8" x14ac:dyDescent="0.2">
      <c r="A141">
        <v>140</v>
      </c>
      <c r="B141" s="10">
        <f>VLOOKUP(odpowiedzi[[#This Row],[Płeć]],plec[],2)</f>
        <v>2</v>
      </c>
      <c r="C141">
        <v>0</v>
      </c>
      <c r="D141" s="10" t="s">
        <v>8</v>
      </c>
      <c r="E141">
        <f>VLOOKUP(odpowiedzi[[#This Row],[Wydział]],wydzial[],2)</f>
        <v>2</v>
      </c>
      <c r="F141">
        <v>22</v>
      </c>
      <c r="G141" s="10" t="s">
        <v>147</v>
      </c>
      <c r="H141">
        <v>0</v>
      </c>
    </row>
    <row r="142" spans="1:8" x14ac:dyDescent="0.2">
      <c r="A142">
        <v>141</v>
      </c>
      <c r="B142" s="10">
        <f>VLOOKUP(odpowiedzi[[#This Row],[Płeć]],plec[],2)</f>
        <v>2</v>
      </c>
      <c r="C142">
        <v>1</v>
      </c>
      <c r="D142" s="10" t="s">
        <v>8</v>
      </c>
      <c r="E142">
        <f>VLOOKUP(odpowiedzi[[#This Row],[Wydział]],wydzial[],2)</f>
        <v>3</v>
      </c>
      <c r="F142">
        <v>22</v>
      </c>
      <c r="G142" s="10" t="s">
        <v>142</v>
      </c>
      <c r="H142">
        <v>0</v>
      </c>
    </row>
    <row r="143" spans="1:8" x14ac:dyDescent="0.2">
      <c r="A143">
        <v>142</v>
      </c>
      <c r="B143" s="10">
        <f>VLOOKUP(odpowiedzi[[#This Row],[Płeć]],plec[],2)</f>
        <v>2</v>
      </c>
      <c r="C143">
        <v>1</v>
      </c>
      <c r="D143" s="10" t="s">
        <v>8</v>
      </c>
      <c r="E143">
        <f>VLOOKUP(odpowiedzi[[#This Row],[Wydział]],wydzial[],2)</f>
        <v>5</v>
      </c>
      <c r="F143">
        <v>22</v>
      </c>
      <c r="G143" s="10" t="s">
        <v>83</v>
      </c>
      <c r="H143">
        <v>1</v>
      </c>
    </row>
    <row r="144" spans="1:8" x14ac:dyDescent="0.2">
      <c r="A144">
        <v>143</v>
      </c>
      <c r="B144" s="10">
        <f>VLOOKUP(odpowiedzi[[#This Row],[Płeć]],plec[],2)</f>
        <v>2</v>
      </c>
      <c r="C144">
        <v>1</v>
      </c>
      <c r="D144" s="10" t="s">
        <v>8</v>
      </c>
      <c r="E144">
        <f>VLOOKUP(odpowiedzi[[#This Row],[Wydział]],wydzial[],2)</f>
        <v>5</v>
      </c>
      <c r="F144">
        <v>22</v>
      </c>
      <c r="G144" s="10" t="s">
        <v>83</v>
      </c>
      <c r="H144">
        <v>0</v>
      </c>
    </row>
    <row r="145" spans="1:8" x14ac:dyDescent="0.2">
      <c r="A145">
        <v>144</v>
      </c>
      <c r="B145" s="10">
        <f>VLOOKUP(odpowiedzi[[#This Row],[Płeć]],plec[],2)</f>
        <v>2</v>
      </c>
      <c r="C145">
        <v>1</v>
      </c>
      <c r="D145" s="10" t="s">
        <v>8</v>
      </c>
      <c r="E145">
        <f>VLOOKUP(odpowiedzi[[#This Row],[Wydział]],wydzial[],2)</f>
        <v>5</v>
      </c>
      <c r="F145">
        <v>22</v>
      </c>
      <c r="G145" s="10" t="s">
        <v>83</v>
      </c>
      <c r="H145">
        <v>0</v>
      </c>
    </row>
    <row r="146" spans="1:8" x14ac:dyDescent="0.2">
      <c r="A146">
        <v>145</v>
      </c>
      <c r="B146" s="10">
        <f>VLOOKUP(odpowiedzi[[#This Row],[Płeć]],plec[],2)</f>
        <v>1</v>
      </c>
      <c r="C146">
        <v>1</v>
      </c>
      <c r="D146" s="10" t="s">
        <v>13</v>
      </c>
      <c r="E146">
        <f>VLOOKUP(odpowiedzi[[#This Row],[Wydział]],wydzial[],2)</f>
        <v>5</v>
      </c>
      <c r="F146">
        <v>22</v>
      </c>
      <c r="G146" s="10" t="s">
        <v>83</v>
      </c>
      <c r="H146">
        <v>0</v>
      </c>
    </row>
    <row r="147" spans="1:8" x14ac:dyDescent="0.2">
      <c r="A147">
        <v>146</v>
      </c>
      <c r="B147" s="10">
        <f>VLOOKUP(odpowiedzi[[#This Row],[Płeć]],plec[],2)</f>
        <v>2</v>
      </c>
      <c r="C147">
        <v>1</v>
      </c>
      <c r="D147" s="10" t="s">
        <v>8</v>
      </c>
      <c r="E147">
        <f>VLOOKUP(odpowiedzi[[#This Row],[Wydział]],wydzial[],2)</f>
        <v>7</v>
      </c>
      <c r="F147">
        <v>22</v>
      </c>
      <c r="G147" s="10" t="s">
        <v>51</v>
      </c>
      <c r="H147">
        <v>0</v>
      </c>
    </row>
    <row r="148" spans="1:8" x14ac:dyDescent="0.2">
      <c r="A148">
        <v>147</v>
      </c>
      <c r="B148" s="10">
        <f>VLOOKUP(odpowiedzi[[#This Row],[Płeć]],plec[],2)</f>
        <v>1</v>
      </c>
      <c r="C148">
        <v>0</v>
      </c>
      <c r="D148" s="10" t="s">
        <v>13</v>
      </c>
      <c r="E148">
        <f>VLOOKUP(odpowiedzi[[#This Row],[Wydział]],wydzial[],2)</f>
        <v>17</v>
      </c>
      <c r="F148">
        <v>22</v>
      </c>
      <c r="G148" s="10" t="s">
        <v>152</v>
      </c>
      <c r="H148">
        <v>0</v>
      </c>
    </row>
    <row r="149" spans="1:8" x14ac:dyDescent="0.2">
      <c r="A149">
        <v>148</v>
      </c>
      <c r="B149" s="10">
        <f>VLOOKUP(odpowiedzi[[#This Row],[Płeć]],plec[],2)</f>
        <v>2</v>
      </c>
      <c r="C149">
        <v>1</v>
      </c>
      <c r="D149" s="10" t="s">
        <v>8</v>
      </c>
      <c r="E149">
        <f>VLOOKUP(odpowiedzi[[#This Row],[Wydział]],wydzial[],2)</f>
        <v>19</v>
      </c>
      <c r="F149">
        <v>22</v>
      </c>
      <c r="G149" s="10" t="s">
        <v>141</v>
      </c>
      <c r="H149">
        <v>1</v>
      </c>
    </row>
    <row r="150" spans="1:8" x14ac:dyDescent="0.2">
      <c r="A150">
        <v>149</v>
      </c>
      <c r="B150" s="10">
        <f>VLOOKUP(odpowiedzi[[#This Row],[Płeć]],plec[],2)</f>
        <v>2</v>
      </c>
      <c r="C150">
        <v>1</v>
      </c>
      <c r="D150" s="10" t="s">
        <v>8</v>
      </c>
      <c r="E150">
        <f>VLOOKUP(odpowiedzi[[#This Row],[Wydział]],wydzial[],2)</f>
        <v>19</v>
      </c>
      <c r="F150">
        <v>22</v>
      </c>
      <c r="G150" s="10" t="s">
        <v>141</v>
      </c>
      <c r="H150">
        <v>0</v>
      </c>
    </row>
    <row r="151" spans="1:8" x14ac:dyDescent="0.2">
      <c r="A151">
        <v>150</v>
      </c>
      <c r="B151" s="10">
        <f>VLOOKUP(odpowiedzi[[#This Row],[Płeć]],plec[],2)</f>
        <v>2</v>
      </c>
      <c r="C151">
        <v>1</v>
      </c>
      <c r="D151" s="10" t="s">
        <v>8</v>
      </c>
      <c r="E151">
        <f>VLOOKUP(odpowiedzi[[#This Row],[Wydział]],wydzial[],2)</f>
        <v>19</v>
      </c>
      <c r="F151">
        <v>22</v>
      </c>
      <c r="G151" s="10" t="s">
        <v>141</v>
      </c>
      <c r="H151">
        <v>0</v>
      </c>
    </row>
    <row r="152" spans="1:8" x14ac:dyDescent="0.2">
      <c r="A152">
        <v>151</v>
      </c>
      <c r="B152" s="10">
        <f>VLOOKUP(odpowiedzi[[#This Row],[Płeć]],plec[],2)</f>
        <v>2</v>
      </c>
      <c r="C152">
        <v>1</v>
      </c>
      <c r="D152" s="10" t="s">
        <v>8</v>
      </c>
      <c r="E152">
        <f>VLOOKUP(odpowiedzi[[#This Row],[Wydział]],wydzial[],2)</f>
        <v>19</v>
      </c>
      <c r="F152">
        <v>22</v>
      </c>
      <c r="G152" s="10" t="s">
        <v>141</v>
      </c>
      <c r="H152">
        <v>1</v>
      </c>
    </row>
    <row r="153" spans="1:8" x14ac:dyDescent="0.2">
      <c r="A153">
        <v>152</v>
      </c>
      <c r="B153" s="10">
        <f>VLOOKUP(odpowiedzi[[#This Row],[Płeć]],plec[],2)</f>
        <v>2</v>
      </c>
      <c r="C153">
        <v>1</v>
      </c>
      <c r="D153" s="10" t="s">
        <v>8</v>
      </c>
      <c r="E153">
        <f>VLOOKUP(odpowiedzi[[#This Row],[Wydział]],wydzial[],2)</f>
        <v>19</v>
      </c>
      <c r="F153">
        <v>22</v>
      </c>
      <c r="G153" s="10" t="s">
        <v>141</v>
      </c>
      <c r="H153">
        <v>0</v>
      </c>
    </row>
    <row r="154" spans="1:8" x14ac:dyDescent="0.2">
      <c r="A154">
        <v>153</v>
      </c>
      <c r="B154" s="10">
        <f>VLOOKUP(odpowiedzi[[#This Row],[Płeć]],plec[],2)</f>
        <v>2</v>
      </c>
      <c r="C154">
        <v>1</v>
      </c>
      <c r="D154" s="10" t="s">
        <v>8</v>
      </c>
      <c r="E154">
        <f>VLOOKUP(odpowiedzi[[#This Row],[Wydział]],wydzial[],2)</f>
        <v>19</v>
      </c>
      <c r="F154">
        <v>22</v>
      </c>
      <c r="G154" s="10" t="s">
        <v>141</v>
      </c>
      <c r="H154">
        <v>0</v>
      </c>
    </row>
    <row r="155" spans="1:8" x14ac:dyDescent="0.2">
      <c r="A155">
        <v>154</v>
      </c>
      <c r="B155" s="10">
        <f>VLOOKUP(odpowiedzi[[#This Row],[Płeć]],plec[],2)</f>
        <v>2</v>
      </c>
      <c r="C155">
        <v>0</v>
      </c>
      <c r="D155" s="10" t="s">
        <v>8</v>
      </c>
      <c r="E155">
        <f>VLOOKUP(odpowiedzi[[#This Row],[Wydział]],wydzial[],2)</f>
        <v>19</v>
      </c>
      <c r="F155">
        <v>22</v>
      </c>
      <c r="G155" s="10" t="s">
        <v>141</v>
      </c>
      <c r="H155">
        <v>0</v>
      </c>
    </row>
    <row r="156" spans="1:8" x14ac:dyDescent="0.2">
      <c r="A156">
        <v>155</v>
      </c>
      <c r="B156" s="10">
        <f>VLOOKUP(odpowiedzi[[#This Row],[Płeć]],plec[],2)</f>
        <v>2</v>
      </c>
      <c r="C156">
        <v>1</v>
      </c>
      <c r="D156" s="10" t="s">
        <v>8</v>
      </c>
      <c r="E156">
        <f>VLOOKUP(odpowiedzi[[#This Row],[Wydział]],wydzial[],2)</f>
        <v>19</v>
      </c>
      <c r="F156">
        <v>22</v>
      </c>
      <c r="G156" s="10" t="s">
        <v>141</v>
      </c>
      <c r="H156">
        <v>1</v>
      </c>
    </row>
    <row r="157" spans="1:8" x14ac:dyDescent="0.2">
      <c r="A157">
        <v>156</v>
      </c>
      <c r="B157" s="10">
        <f>VLOOKUP(odpowiedzi[[#This Row],[Płeć]],plec[],2)</f>
        <v>2</v>
      </c>
      <c r="C157">
        <v>1</v>
      </c>
      <c r="D157" s="10" t="s">
        <v>8</v>
      </c>
      <c r="E157">
        <f>VLOOKUP(odpowiedzi[[#This Row],[Wydział]],wydzial[],2)</f>
        <v>21</v>
      </c>
      <c r="F157">
        <v>22</v>
      </c>
      <c r="G157" s="10" t="s">
        <v>76</v>
      </c>
      <c r="H157">
        <v>1</v>
      </c>
    </row>
    <row r="158" spans="1:8" x14ac:dyDescent="0.2">
      <c r="A158">
        <v>157</v>
      </c>
      <c r="B158" s="10">
        <f>VLOOKUP(odpowiedzi[[#This Row],[Płeć]],plec[],2)</f>
        <v>2</v>
      </c>
      <c r="C158">
        <v>0</v>
      </c>
      <c r="D158" s="10" t="s">
        <v>8</v>
      </c>
      <c r="E158">
        <f>VLOOKUP(odpowiedzi[[#This Row],[Wydział]],wydzial[],2)</f>
        <v>22</v>
      </c>
      <c r="F158">
        <v>22</v>
      </c>
      <c r="G158" s="10" t="s">
        <v>69</v>
      </c>
      <c r="H158">
        <v>0</v>
      </c>
    </row>
    <row r="159" spans="1:8" x14ac:dyDescent="0.2">
      <c r="A159">
        <v>158</v>
      </c>
      <c r="B159" s="10">
        <f>VLOOKUP(odpowiedzi[[#This Row],[Płeć]],plec[],2)</f>
        <v>1</v>
      </c>
      <c r="C159">
        <v>0</v>
      </c>
      <c r="D159" s="10" t="s">
        <v>13</v>
      </c>
      <c r="E159">
        <f>VLOOKUP(odpowiedzi[[#This Row],[Wydział]],wydzial[],2)</f>
        <v>23</v>
      </c>
      <c r="F159">
        <v>22</v>
      </c>
      <c r="G159" s="10" t="s">
        <v>79</v>
      </c>
      <c r="H159">
        <v>1</v>
      </c>
    </row>
    <row r="160" spans="1:8" x14ac:dyDescent="0.2">
      <c r="A160">
        <v>159</v>
      </c>
      <c r="B160" s="10">
        <f>VLOOKUP(odpowiedzi[[#This Row],[Płeć]],plec[],2)</f>
        <v>2</v>
      </c>
      <c r="C160">
        <v>1</v>
      </c>
      <c r="D160" s="10" t="s">
        <v>8</v>
      </c>
      <c r="E160">
        <f>VLOOKUP(odpowiedzi[[#This Row],[Wydział]],wydzial[],2)</f>
        <v>24</v>
      </c>
      <c r="F160">
        <v>22</v>
      </c>
      <c r="G160" s="10" t="s">
        <v>66</v>
      </c>
      <c r="H160">
        <v>1</v>
      </c>
    </row>
    <row r="161" spans="1:8" x14ac:dyDescent="0.2">
      <c r="A161">
        <v>160</v>
      </c>
      <c r="B161" s="10">
        <f>VLOOKUP(odpowiedzi[[#This Row],[Płeć]],plec[],2)</f>
        <v>1</v>
      </c>
      <c r="C161">
        <v>0</v>
      </c>
      <c r="D161" s="10" t="s">
        <v>13</v>
      </c>
      <c r="E161">
        <f>VLOOKUP(odpowiedzi[[#This Row],[Wydział]],wydzial[],2)</f>
        <v>26</v>
      </c>
      <c r="F161">
        <v>22</v>
      </c>
      <c r="G161" s="10" t="s">
        <v>62</v>
      </c>
      <c r="H161">
        <v>0</v>
      </c>
    </row>
    <row r="162" spans="1:8" x14ac:dyDescent="0.2">
      <c r="A162">
        <v>161</v>
      </c>
      <c r="B162" s="10">
        <f>VLOOKUP(odpowiedzi[[#This Row],[Płeć]],plec[],2)</f>
        <v>2</v>
      </c>
      <c r="C162">
        <v>0</v>
      </c>
      <c r="D162" s="10" t="s">
        <v>8</v>
      </c>
      <c r="E162">
        <f>VLOOKUP(odpowiedzi[[#This Row],[Wydział]],wydzial[],2)</f>
        <v>33</v>
      </c>
      <c r="F162">
        <v>22</v>
      </c>
      <c r="G162" s="10" t="s">
        <v>27</v>
      </c>
      <c r="H162">
        <v>0</v>
      </c>
    </row>
    <row r="163" spans="1:8" x14ac:dyDescent="0.2">
      <c r="A163">
        <v>162</v>
      </c>
      <c r="B163" s="10">
        <f>VLOOKUP(odpowiedzi[[#This Row],[Płeć]],plec[],2)</f>
        <v>2</v>
      </c>
      <c r="C163">
        <v>1</v>
      </c>
      <c r="D163" s="10" t="s">
        <v>8</v>
      </c>
      <c r="E163">
        <f>VLOOKUP(odpowiedzi[[#This Row],[Wydział]],wydzial[],2)</f>
        <v>33</v>
      </c>
      <c r="F163">
        <v>22</v>
      </c>
      <c r="G163" s="10" t="s">
        <v>27</v>
      </c>
      <c r="H163">
        <v>1</v>
      </c>
    </row>
    <row r="164" spans="1:8" x14ac:dyDescent="0.2">
      <c r="A164">
        <v>163</v>
      </c>
      <c r="B164" s="10">
        <f>VLOOKUP(odpowiedzi[[#This Row],[Płeć]],plec[],2)</f>
        <v>2</v>
      </c>
      <c r="C164">
        <v>1</v>
      </c>
      <c r="D164" s="10" t="s">
        <v>8</v>
      </c>
      <c r="E164">
        <f>VLOOKUP(odpowiedzi[[#This Row],[Wydział]],wydzial[],2)</f>
        <v>33</v>
      </c>
      <c r="F164">
        <v>22</v>
      </c>
      <c r="G164" s="10" t="s">
        <v>27</v>
      </c>
      <c r="H164">
        <v>0</v>
      </c>
    </row>
    <row r="165" spans="1:8" x14ac:dyDescent="0.2">
      <c r="A165">
        <v>164</v>
      </c>
      <c r="B165" s="10">
        <f>VLOOKUP(odpowiedzi[[#This Row],[Płeć]],plec[],2)</f>
        <v>1</v>
      </c>
      <c r="C165">
        <v>0</v>
      </c>
      <c r="D165" s="10" t="s">
        <v>13</v>
      </c>
      <c r="E165">
        <f>VLOOKUP(odpowiedzi[[#This Row],[Wydział]],wydzial[],2)</f>
        <v>33</v>
      </c>
      <c r="F165">
        <v>22</v>
      </c>
      <c r="G165" s="10" t="s">
        <v>27</v>
      </c>
      <c r="H165">
        <v>0</v>
      </c>
    </row>
    <row r="166" spans="1:8" x14ac:dyDescent="0.2">
      <c r="A166">
        <v>165</v>
      </c>
      <c r="B166" s="10">
        <f>VLOOKUP(odpowiedzi[[#This Row],[Płeć]],plec[],2)</f>
        <v>2</v>
      </c>
      <c r="C166">
        <v>1</v>
      </c>
      <c r="D166" s="10" t="s">
        <v>8</v>
      </c>
      <c r="E166">
        <f>VLOOKUP(odpowiedzi[[#This Row],[Wydział]],wydzial[],2)</f>
        <v>33</v>
      </c>
      <c r="F166">
        <v>22</v>
      </c>
      <c r="G166" s="10" t="s">
        <v>27</v>
      </c>
      <c r="H166">
        <v>0</v>
      </c>
    </row>
    <row r="167" spans="1:8" x14ac:dyDescent="0.2">
      <c r="A167">
        <v>166</v>
      </c>
      <c r="B167" s="10">
        <f>VLOOKUP(odpowiedzi[[#This Row],[Płeć]],plec[],2)</f>
        <v>2</v>
      </c>
      <c r="C167">
        <v>1</v>
      </c>
      <c r="D167" s="10" t="s">
        <v>8</v>
      </c>
      <c r="E167">
        <f>VLOOKUP(odpowiedzi[[#This Row],[Wydział]],wydzial[],2)</f>
        <v>5</v>
      </c>
      <c r="F167">
        <v>23</v>
      </c>
      <c r="G167" s="10" t="s">
        <v>83</v>
      </c>
      <c r="H167">
        <v>0</v>
      </c>
    </row>
    <row r="168" spans="1:8" x14ac:dyDescent="0.2">
      <c r="A168">
        <v>167</v>
      </c>
      <c r="B168" s="10">
        <f>VLOOKUP(odpowiedzi[[#This Row],[Płeć]],plec[],2)</f>
        <v>2</v>
      </c>
      <c r="C168">
        <v>1</v>
      </c>
      <c r="D168" s="10" t="s">
        <v>8</v>
      </c>
      <c r="E168">
        <f>VLOOKUP(odpowiedzi[[#This Row],[Wydział]],wydzial[],2)</f>
        <v>8</v>
      </c>
      <c r="F168">
        <v>23</v>
      </c>
      <c r="G168" s="10" t="s">
        <v>158</v>
      </c>
      <c r="H168">
        <v>0</v>
      </c>
    </row>
    <row r="169" spans="1:8" x14ac:dyDescent="0.2">
      <c r="A169">
        <v>168</v>
      </c>
      <c r="B169" s="10">
        <f>VLOOKUP(odpowiedzi[[#This Row],[Płeć]],plec[],2)</f>
        <v>1</v>
      </c>
      <c r="C169">
        <v>0</v>
      </c>
      <c r="D169" s="10" t="s">
        <v>13</v>
      </c>
      <c r="E169">
        <f>VLOOKUP(odpowiedzi[[#This Row],[Wydział]],wydzial[],2)</f>
        <v>10</v>
      </c>
      <c r="F169">
        <v>23</v>
      </c>
      <c r="G169" s="10" t="s">
        <v>85</v>
      </c>
      <c r="H169">
        <v>0</v>
      </c>
    </row>
    <row r="170" spans="1:8" x14ac:dyDescent="0.2">
      <c r="A170">
        <v>169</v>
      </c>
      <c r="B170" s="10">
        <f>VLOOKUP(odpowiedzi[[#This Row],[Płeć]],plec[],2)</f>
        <v>2</v>
      </c>
      <c r="C170">
        <v>1</v>
      </c>
      <c r="D170" s="10" t="s">
        <v>8</v>
      </c>
      <c r="E170">
        <f>VLOOKUP(odpowiedzi[[#This Row],[Wydział]],wydzial[],2)</f>
        <v>13</v>
      </c>
      <c r="F170">
        <v>23</v>
      </c>
      <c r="G170" s="10" t="s">
        <v>148</v>
      </c>
      <c r="H170">
        <v>1</v>
      </c>
    </row>
    <row r="171" spans="1:8" x14ac:dyDescent="0.2">
      <c r="A171">
        <v>170</v>
      </c>
      <c r="B171" s="10">
        <f>VLOOKUP(odpowiedzi[[#This Row],[Płeć]],plec[],2)</f>
        <v>2</v>
      </c>
      <c r="C171">
        <v>1</v>
      </c>
      <c r="D171" s="10" t="s">
        <v>8</v>
      </c>
      <c r="E171">
        <f>VLOOKUP(odpowiedzi[[#This Row],[Wydział]],wydzial[],2)</f>
        <v>13</v>
      </c>
      <c r="F171">
        <v>23</v>
      </c>
      <c r="G171" s="10" t="s">
        <v>148</v>
      </c>
      <c r="H171">
        <v>0</v>
      </c>
    </row>
    <row r="172" spans="1:8" x14ac:dyDescent="0.2">
      <c r="A172">
        <v>171</v>
      </c>
      <c r="B172" s="10">
        <f>VLOOKUP(odpowiedzi[[#This Row],[Płeć]],plec[],2)</f>
        <v>2</v>
      </c>
      <c r="C172">
        <v>1</v>
      </c>
      <c r="D172" s="10" t="s">
        <v>8</v>
      </c>
      <c r="E172">
        <f>VLOOKUP(odpowiedzi[[#This Row],[Wydział]],wydzial[],2)</f>
        <v>14</v>
      </c>
      <c r="F172">
        <v>23</v>
      </c>
      <c r="G172" s="10" t="s">
        <v>149</v>
      </c>
      <c r="H172">
        <v>0</v>
      </c>
    </row>
    <row r="173" spans="1:8" x14ac:dyDescent="0.2">
      <c r="A173">
        <v>172</v>
      </c>
      <c r="B173" s="10">
        <f>VLOOKUP(odpowiedzi[[#This Row],[Płeć]],plec[],2)</f>
        <v>1</v>
      </c>
      <c r="C173">
        <v>0</v>
      </c>
      <c r="D173" s="10" t="s">
        <v>13</v>
      </c>
      <c r="E173">
        <f>VLOOKUP(odpowiedzi[[#This Row],[Wydział]],wydzial[],2)</f>
        <v>19</v>
      </c>
      <c r="F173">
        <v>23</v>
      </c>
      <c r="G173" s="10" t="s">
        <v>141</v>
      </c>
      <c r="H173">
        <v>0</v>
      </c>
    </row>
    <row r="174" spans="1:8" x14ac:dyDescent="0.2">
      <c r="A174">
        <v>173</v>
      </c>
      <c r="B174" s="10">
        <f>VLOOKUP(odpowiedzi[[#This Row],[Płeć]],plec[],2)</f>
        <v>2</v>
      </c>
      <c r="C174">
        <v>1</v>
      </c>
      <c r="D174" s="10" t="s">
        <v>8</v>
      </c>
      <c r="E174">
        <f>VLOOKUP(odpowiedzi[[#This Row],[Wydział]],wydzial[],2)</f>
        <v>19</v>
      </c>
      <c r="F174">
        <v>23</v>
      </c>
      <c r="G174" s="10" t="s">
        <v>141</v>
      </c>
      <c r="H174">
        <v>1</v>
      </c>
    </row>
    <row r="175" spans="1:8" x14ac:dyDescent="0.2">
      <c r="A175">
        <v>174</v>
      </c>
      <c r="B175" s="10">
        <f>VLOOKUP(odpowiedzi[[#This Row],[Płeć]],plec[],2)</f>
        <v>2</v>
      </c>
      <c r="C175">
        <v>0</v>
      </c>
      <c r="D175" s="10" t="s">
        <v>8</v>
      </c>
      <c r="E175">
        <f>VLOOKUP(odpowiedzi[[#This Row],[Wydział]],wydzial[],2)</f>
        <v>19</v>
      </c>
      <c r="F175">
        <v>23</v>
      </c>
      <c r="G175" s="10" t="s">
        <v>141</v>
      </c>
      <c r="H175">
        <v>0</v>
      </c>
    </row>
    <row r="176" spans="1:8" x14ac:dyDescent="0.2">
      <c r="A176">
        <v>175</v>
      </c>
      <c r="B176" s="10">
        <f>VLOOKUP(odpowiedzi[[#This Row],[Płeć]],plec[],2)</f>
        <v>2</v>
      </c>
      <c r="C176">
        <v>0</v>
      </c>
      <c r="D176" s="10" t="s">
        <v>8</v>
      </c>
      <c r="E176">
        <f>VLOOKUP(odpowiedzi[[#This Row],[Wydział]],wydzial[],2)</f>
        <v>19</v>
      </c>
      <c r="F176">
        <v>23</v>
      </c>
      <c r="G176" s="10" t="s">
        <v>141</v>
      </c>
      <c r="H176">
        <v>0</v>
      </c>
    </row>
    <row r="177" spans="1:8" x14ac:dyDescent="0.2">
      <c r="A177">
        <v>176</v>
      </c>
      <c r="B177" s="10">
        <f>VLOOKUP(odpowiedzi[[#This Row],[Płeć]],plec[],2)</f>
        <v>2</v>
      </c>
      <c r="C177">
        <v>1</v>
      </c>
      <c r="D177" s="10" t="s">
        <v>8</v>
      </c>
      <c r="E177">
        <f>VLOOKUP(odpowiedzi[[#This Row],[Wydział]],wydzial[],2)</f>
        <v>21</v>
      </c>
      <c r="F177">
        <v>23</v>
      </c>
      <c r="G177" s="10" t="s">
        <v>76</v>
      </c>
      <c r="H177">
        <v>0</v>
      </c>
    </row>
    <row r="178" spans="1:8" x14ac:dyDescent="0.2">
      <c r="A178">
        <v>177</v>
      </c>
      <c r="B178" s="10">
        <f>VLOOKUP(odpowiedzi[[#This Row],[Płeć]],plec[],2)</f>
        <v>2</v>
      </c>
      <c r="C178">
        <v>0</v>
      </c>
      <c r="D178" s="10" t="s">
        <v>8</v>
      </c>
      <c r="E178">
        <f>VLOOKUP(odpowiedzi[[#This Row],[Wydział]],wydzial[],2)</f>
        <v>22</v>
      </c>
      <c r="F178">
        <v>23</v>
      </c>
      <c r="G178" s="10" t="s">
        <v>69</v>
      </c>
      <c r="H178">
        <v>0</v>
      </c>
    </row>
    <row r="179" spans="1:8" x14ac:dyDescent="0.2">
      <c r="A179">
        <v>178</v>
      </c>
      <c r="B179" s="10">
        <f>VLOOKUP(odpowiedzi[[#This Row],[Płeć]],plec[],2)</f>
        <v>2</v>
      </c>
      <c r="C179">
        <v>1</v>
      </c>
      <c r="D179" s="10" t="s">
        <v>8</v>
      </c>
      <c r="E179">
        <f>VLOOKUP(odpowiedzi[[#This Row],[Wydział]],wydzial[],2)</f>
        <v>22</v>
      </c>
      <c r="F179">
        <v>23</v>
      </c>
      <c r="G179" s="10" t="s">
        <v>69</v>
      </c>
      <c r="H179">
        <v>0</v>
      </c>
    </row>
    <row r="180" spans="1:8" x14ac:dyDescent="0.2">
      <c r="A180">
        <v>179</v>
      </c>
      <c r="B180" s="10">
        <f>VLOOKUP(odpowiedzi[[#This Row],[Płeć]],plec[],2)</f>
        <v>2</v>
      </c>
      <c r="C180">
        <v>1</v>
      </c>
      <c r="D180" s="10" t="s">
        <v>8</v>
      </c>
      <c r="E180">
        <f>VLOOKUP(odpowiedzi[[#This Row],[Wydział]],wydzial[],2)</f>
        <v>28</v>
      </c>
      <c r="F180">
        <v>23</v>
      </c>
      <c r="G180" s="10" t="s">
        <v>146</v>
      </c>
      <c r="H180">
        <v>1</v>
      </c>
    </row>
    <row r="181" spans="1:8" x14ac:dyDescent="0.2">
      <c r="A181">
        <v>180</v>
      </c>
      <c r="B181" s="10">
        <f>VLOOKUP(odpowiedzi[[#This Row],[Płeć]],plec[],2)</f>
        <v>1</v>
      </c>
      <c r="C181">
        <v>0</v>
      </c>
      <c r="D181" s="10" t="s">
        <v>13</v>
      </c>
      <c r="E181">
        <f>VLOOKUP(odpowiedzi[[#This Row],[Wydział]],wydzial[],2)</f>
        <v>29</v>
      </c>
      <c r="F181">
        <v>23</v>
      </c>
      <c r="G181" s="10" t="s">
        <v>56</v>
      </c>
      <c r="H181">
        <v>0</v>
      </c>
    </row>
    <row r="182" spans="1:8" x14ac:dyDescent="0.2">
      <c r="A182">
        <v>181</v>
      </c>
      <c r="B182" s="10">
        <f>VLOOKUP(odpowiedzi[[#This Row],[Płeć]],plec[],2)</f>
        <v>2</v>
      </c>
      <c r="C182">
        <v>1</v>
      </c>
      <c r="D182" s="10" t="s">
        <v>8</v>
      </c>
      <c r="E182">
        <f>VLOOKUP(odpowiedzi[[#This Row],[Wydział]],wydzial[],2)</f>
        <v>33</v>
      </c>
      <c r="F182">
        <v>23</v>
      </c>
      <c r="G182" s="10" t="s">
        <v>27</v>
      </c>
      <c r="H182">
        <v>0</v>
      </c>
    </row>
    <row r="183" spans="1:8" x14ac:dyDescent="0.2">
      <c r="A183">
        <v>182</v>
      </c>
      <c r="B183" s="10">
        <f>VLOOKUP(odpowiedzi[[#This Row],[Płeć]],plec[],2)</f>
        <v>2</v>
      </c>
      <c r="C183">
        <v>1</v>
      </c>
      <c r="D183" s="10" t="s">
        <v>8</v>
      </c>
      <c r="E183">
        <f>VLOOKUP(odpowiedzi[[#This Row],[Wydział]],wydzial[],2)</f>
        <v>8</v>
      </c>
      <c r="F183">
        <v>24</v>
      </c>
      <c r="G183" s="10" t="s">
        <v>158</v>
      </c>
      <c r="H183">
        <v>1</v>
      </c>
    </row>
    <row r="184" spans="1:8" x14ac:dyDescent="0.2">
      <c r="A184">
        <v>183</v>
      </c>
      <c r="B184" s="10">
        <f>VLOOKUP(odpowiedzi[[#This Row],[Płeć]],plec[],2)</f>
        <v>1</v>
      </c>
      <c r="C184">
        <v>0</v>
      </c>
      <c r="D184" s="10" t="s">
        <v>13</v>
      </c>
      <c r="E184">
        <f>VLOOKUP(odpowiedzi[[#This Row],[Wydział]],wydzial[],2)</f>
        <v>14</v>
      </c>
      <c r="F184">
        <v>24</v>
      </c>
      <c r="G184" s="10" t="s">
        <v>149</v>
      </c>
      <c r="H184">
        <v>0</v>
      </c>
    </row>
    <row r="185" spans="1:8" x14ac:dyDescent="0.2">
      <c r="A185">
        <v>184</v>
      </c>
      <c r="B185" s="10">
        <f>VLOOKUP(odpowiedzi[[#This Row],[Płeć]],plec[],2)</f>
        <v>2</v>
      </c>
      <c r="C185">
        <v>1</v>
      </c>
      <c r="D185" s="10" t="s">
        <v>8</v>
      </c>
      <c r="E185">
        <f>VLOOKUP(odpowiedzi[[#This Row],[Wydział]],wydzial[],2)</f>
        <v>19</v>
      </c>
      <c r="F185">
        <v>24</v>
      </c>
      <c r="G185" s="10" t="s">
        <v>141</v>
      </c>
      <c r="H185">
        <v>1</v>
      </c>
    </row>
    <row r="186" spans="1:8" x14ac:dyDescent="0.2">
      <c r="A186">
        <v>185</v>
      </c>
      <c r="B186" s="10">
        <f>VLOOKUP(odpowiedzi[[#This Row],[Płeć]],plec[],2)</f>
        <v>2</v>
      </c>
      <c r="C186">
        <v>1</v>
      </c>
      <c r="D186" s="10" t="s">
        <v>8</v>
      </c>
      <c r="E186">
        <f>VLOOKUP(odpowiedzi[[#This Row],[Wydział]],wydzial[],2)</f>
        <v>19</v>
      </c>
      <c r="F186">
        <v>24</v>
      </c>
      <c r="G186" s="10" t="s">
        <v>141</v>
      </c>
      <c r="H186">
        <v>1</v>
      </c>
    </row>
    <row r="187" spans="1:8" x14ac:dyDescent="0.2">
      <c r="A187">
        <v>186</v>
      </c>
      <c r="B187" s="10">
        <f>VLOOKUP(odpowiedzi[[#This Row],[Płeć]],plec[],2)</f>
        <v>2</v>
      </c>
      <c r="C187">
        <v>1</v>
      </c>
      <c r="D187" s="10" t="s">
        <v>8</v>
      </c>
      <c r="E187">
        <f>VLOOKUP(odpowiedzi[[#This Row],[Wydział]],wydzial[],2)</f>
        <v>19</v>
      </c>
      <c r="F187">
        <v>24</v>
      </c>
      <c r="G187" s="10" t="s">
        <v>141</v>
      </c>
      <c r="H187">
        <v>0</v>
      </c>
    </row>
    <row r="188" spans="1:8" x14ac:dyDescent="0.2">
      <c r="A188">
        <v>187</v>
      </c>
      <c r="B188" s="10">
        <f>VLOOKUP(odpowiedzi[[#This Row],[Płeć]],plec[],2)</f>
        <v>2</v>
      </c>
      <c r="C188">
        <v>1</v>
      </c>
      <c r="D188" s="10" t="s">
        <v>8</v>
      </c>
      <c r="E188">
        <f>VLOOKUP(odpowiedzi[[#This Row],[Wydział]],wydzial[],2)</f>
        <v>19</v>
      </c>
      <c r="F188">
        <v>24</v>
      </c>
      <c r="G188" s="10" t="s">
        <v>141</v>
      </c>
      <c r="H188">
        <v>0</v>
      </c>
    </row>
    <row r="189" spans="1:8" x14ac:dyDescent="0.2">
      <c r="A189">
        <v>188</v>
      </c>
      <c r="B189" s="10">
        <f>VLOOKUP(odpowiedzi[[#This Row],[Płeć]],plec[],2)</f>
        <v>2</v>
      </c>
      <c r="C189">
        <v>1</v>
      </c>
      <c r="D189" s="10" t="s">
        <v>8</v>
      </c>
      <c r="E189">
        <f>VLOOKUP(odpowiedzi[[#This Row],[Wydział]],wydzial[],2)</f>
        <v>19</v>
      </c>
      <c r="F189">
        <v>24</v>
      </c>
      <c r="G189" s="10" t="s">
        <v>141</v>
      </c>
      <c r="H189">
        <v>0</v>
      </c>
    </row>
    <row r="190" spans="1:8" x14ac:dyDescent="0.2">
      <c r="A190">
        <v>189</v>
      </c>
      <c r="B190" s="10">
        <f>VLOOKUP(odpowiedzi[[#This Row],[Płeć]],plec[],2)</f>
        <v>2</v>
      </c>
      <c r="C190">
        <v>1</v>
      </c>
      <c r="D190" s="10" t="s">
        <v>8</v>
      </c>
      <c r="E190">
        <f>VLOOKUP(odpowiedzi[[#This Row],[Wydział]],wydzial[],2)</f>
        <v>29</v>
      </c>
      <c r="F190">
        <v>24</v>
      </c>
      <c r="G190" s="10" t="s">
        <v>56</v>
      </c>
      <c r="H190">
        <v>1</v>
      </c>
    </row>
    <row r="191" spans="1:8" x14ac:dyDescent="0.2">
      <c r="A191">
        <v>190</v>
      </c>
      <c r="B191" s="10">
        <f>VLOOKUP(odpowiedzi[[#This Row],[Płeć]],plec[],2)</f>
        <v>2</v>
      </c>
      <c r="C191">
        <v>0</v>
      </c>
      <c r="D191" s="10" t="s">
        <v>8</v>
      </c>
      <c r="E191">
        <f>VLOOKUP(odpowiedzi[[#This Row],[Wydział]],wydzial[],2)</f>
        <v>19</v>
      </c>
      <c r="F191">
        <v>25</v>
      </c>
      <c r="G191" s="10" t="s">
        <v>141</v>
      </c>
      <c r="H191">
        <v>0</v>
      </c>
    </row>
    <row r="192" spans="1:8" x14ac:dyDescent="0.2">
      <c r="A192">
        <v>191</v>
      </c>
      <c r="B192" s="10">
        <f>VLOOKUP(odpowiedzi[[#This Row],[Płeć]],plec[],2)</f>
        <v>2</v>
      </c>
      <c r="C192">
        <v>1</v>
      </c>
      <c r="D192" s="10" t="s">
        <v>8</v>
      </c>
      <c r="E192">
        <f>VLOOKUP(odpowiedzi[[#This Row],[Wydział]],wydzial[],2)</f>
        <v>19</v>
      </c>
      <c r="F192">
        <v>25</v>
      </c>
      <c r="G192" s="10" t="s">
        <v>141</v>
      </c>
      <c r="H192">
        <v>1</v>
      </c>
    </row>
    <row r="193" spans="1:8" x14ac:dyDescent="0.2">
      <c r="A193">
        <v>192</v>
      </c>
      <c r="B193" s="10">
        <f>VLOOKUP(odpowiedzi[[#This Row],[Płeć]],plec[],2)</f>
        <v>1</v>
      </c>
      <c r="C193">
        <v>1</v>
      </c>
      <c r="D193" s="10" t="s">
        <v>13</v>
      </c>
      <c r="E193">
        <f>VLOOKUP(odpowiedzi[[#This Row],[Wydział]],wydzial[],2)</f>
        <v>33</v>
      </c>
      <c r="F193">
        <v>25</v>
      </c>
      <c r="G193" s="10" t="s">
        <v>27</v>
      </c>
      <c r="H193">
        <v>0</v>
      </c>
    </row>
    <row r="194" spans="1:8" x14ac:dyDescent="0.2">
      <c r="A194">
        <v>193</v>
      </c>
      <c r="B194" s="10">
        <f>VLOOKUP(odpowiedzi[[#This Row],[Płeć]],plec[],2)</f>
        <v>2</v>
      </c>
      <c r="C194">
        <v>1</v>
      </c>
      <c r="D194" s="10" t="s">
        <v>8</v>
      </c>
      <c r="E194">
        <f>VLOOKUP(odpowiedzi[[#This Row],[Wydział]],wydzial[],2)</f>
        <v>33</v>
      </c>
      <c r="F194">
        <v>25</v>
      </c>
      <c r="G194" s="10" t="s">
        <v>27</v>
      </c>
      <c r="H194">
        <v>1</v>
      </c>
    </row>
    <row r="195" spans="1:8" x14ac:dyDescent="0.2">
      <c r="A195">
        <v>194</v>
      </c>
      <c r="B195" s="10">
        <f>VLOOKUP(odpowiedzi[[#This Row],[Płeć]],plec[],2)</f>
        <v>2</v>
      </c>
      <c r="C195">
        <v>1</v>
      </c>
      <c r="D195" s="10" t="s">
        <v>8</v>
      </c>
      <c r="E195">
        <f>VLOOKUP(odpowiedzi[[#This Row],[Wydział]],wydzial[],2)</f>
        <v>19</v>
      </c>
      <c r="F195">
        <v>26</v>
      </c>
      <c r="G195" s="10" t="s">
        <v>141</v>
      </c>
      <c r="H195">
        <v>0</v>
      </c>
    </row>
    <row r="196" spans="1:8" x14ac:dyDescent="0.2">
      <c r="A196">
        <v>195</v>
      </c>
      <c r="B196" s="10">
        <f>VLOOKUP(odpowiedzi[[#This Row],[Płeć]],plec[],2)</f>
        <v>2</v>
      </c>
      <c r="C196">
        <v>1</v>
      </c>
      <c r="D196" s="10" t="s">
        <v>8</v>
      </c>
      <c r="E196">
        <f>VLOOKUP(odpowiedzi[[#This Row],[Wydział]],wydzial[],2)</f>
        <v>29</v>
      </c>
      <c r="F196">
        <v>26</v>
      </c>
      <c r="G196" s="10" t="s">
        <v>56</v>
      </c>
      <c r="H196">
        <v>1</v>
      </c>
    </row>
    <row r="197" spans="1:8" x14ac:dyDescent="0.2">
      <c r="A197">
        <v>196</v>
      </c>
      <c r="B197" s="10">
        <f>VLOOKUP(odpowiedzi[[#This Row],[Płeć]],plec[],2)</f>
        <v>1</v>
      </c>
      <c r="C197">
        <v>1</v>
      </c>
      <c r="D197" s="10" t="s">
        <v>13</v>
      </c>
      <c r="E197">
        <f>VLOOKUP(odpowiedzi[[#This Row],[Wydział]],wydzial[],2)</f>
        <v>29</v>
      </c>
      <c r="F197">
        <v>28</v>
      </c>
      <c r="G197" s="10" t="s">
        <v>56</v>
      </c>
      <c r="H197">
        <v>0</v>
      </c>
    </row>
    <row r="198" spans="1:8" x14ac:dyDescent="0.2">
      <c r="A198">
        <v>197</v>
      </c>
      <c r="B198" s="10">
        <f>VLOOKUP(odpowiedzi[[#This Row],[Płeć]],plec[],2)</f>
        <v>2</v>
      </c>
      <c r="C198">
        <v>0</v>
      </c>
      <c r="D198" s="10" t="s">
        <v>8</v>
      </c>
      <c r="E198">
        <f>VLOOKUP(odpowiedzi[[#This Row],[Wydział]],wydzial[],2)</f>
        <v>33</v>
      </c>
      <c r="F198">
        <v>28</v>
      </c>
      <c r="G198" s="10" t="s">
        <v>27</v>
      </c>
      <c r="H198">
        <v>0</v>
      </c>
    </row>
    <row r="199" spans="1:8" x14ac:dyDescent="0.2">
      <c r="A199">
        <v>198</v>
      </c>
      <c r="B199" s="10">
        <f>VLOOKUP(odpowiedzi[[#This Row],[Płeć]],plec[],2)</f>
        <v>1</v>
      </c>
      <c r="C199">
        <v>1</v>
      </c>
      <c r="D199" s="10" t="s">
        <v>13</v>
      </c>
      <c r="E199">
        <f>VLOOKUP(odpowiedzi[[#This Row],[Wydział]],wydzial[],2)</f>
        <v>33</v>
      </c>
      <c r="F199">
        <v>28</v>
      </c>
      <c r="G199" s="10" t="s">
        <v>27</v>
      </c>
      <c r="H199">
        <v>0</v>
      </c>
    </row>
    <row r="200" spans="1:8" x14ac:dyDescent="0.2">
      <c r="A200">
        <v>199</v>
      </c>
      <c r="B200" s="10">
        <f>VLOOKUP(odpowiedzi[[#This Row],[Płeć]],plec[],2)</f>
        <v>1</v>
      </c>
      <c r="C200">
        <v>0</v>
      </c>
      <c r="D200" s="10" t="s">
        <v>13</v>
      </c>
      <c r="E200">
        <f>VLOOKUP(odpowiedzi[[#This Row],[Wydział]],wydzial[],2)</f>
        <v>32</v>
      </c>
      <c r="F200">
        <v>37</v>
      </c>
      <c r="G200" s="10" t="s">
        <v>156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>
      <selection activeCell="C12" sqref="C12"/>
    </sheetView>
  </sheetViews>
  <sheetFormatPr defaultRowHeight="12.75" x14ac:dyDescent="0.2"/>
  <cols>
    <col min="1" max="1" width="62.140625" bestFit="1" customWidth="1"/>
    <col min="2" max="2" width="13" bestFit="1" customWidth="1"/>
    <col min="3" max="3" width="62.140625" bestFit="1" customWidth="1"/>
  </cols>
  <sheetData>
    <row r="1" spans="1:2" x14ac:dyDescent="0.2">
      <c r="A1" t="s">
        <v>214</v>
      </c>
      <c r="B1" t="s">
        <v>198</v>
      </c>
    </row>
    <row r="2" spans="1:2" x14ac:dyDescent="0.2">
      <c r="A2" t="s">
        <v>143</v>
      </c>
      <c r="B2">
        <v>1</v>
      </c>
    </row>
    <row r="3" spans="1:2" x14ac:dyDescent="0.2">
      <c r="A3" t="s">
        <v>147</v>
      </c>
      <c r="B3">
        <v>2</v>
      </c>
    </row>
    <row r="4" spans="1:2" x14ac:dyDescent="0.2">
      <c r="A4" t="s">
        <v>142</v>
      </c>
      <c r="B4">
        <v>3</v>
      </c>
    </row>
    <row r="5" spans="1:2" x14ac:dyDescent="0.2">
      <c r="A5" t="s">
        <v>157</v>
      </c>
      <c r="B5">
        <v>4</v>
      </c>
    </row>
    <row r="6" spans="1:2" x14ac:dyDescent="0.2">
      <c r="A6" t="s">
        <v>83</v>
      </c>
      <c r="B6">
        <v>5</v>
      </c>
    </row>
    <row r="7" spans="1:2" x14ac:dyDescent="0.2">
      <c r="A7" t="s">
        <v>162</v>
      </c>
      <c r="B7">
        <v>6</v>
      </c>
    </row>
    <row r="8" spans="1:2" x14ac:dyDescent="0.2">
      <c r="A8" t="s">
        <v>51</v>
      </c>
      <c r="B8">
        <v>7</v>
      </c>
    </row>
    <row r="9" spans="1:2" x14ac:dyDescent="0.2">
      <c r="A9" t="s">
        <v>158</v>
      </c>
      <c r="B9">
        <v>8</v>
      </c>
    </row>
    <row r="10" spans="1:2" x14ac:dyDescent="0.2">
      <c r="A10" t="s">
        <v>58</v>
      </c>
      <c r="B10">
        <v>9</v>
      </c>
    </row>
    <row r="11" spans="1:2" x14ac:dyDescent="0.2">
      <c r="A11" t="s">
        <v>85</v>
      </c>
      <c r="B11">
        <v>10</v>
      </c>
    </row>
    <row r="12" spans="1:2" x14ac:dyDescent="0.2">
      <c r="A12" t="s">
        <v>160</v>
      </c>
      <c r="B12">
        <v>11</v>
      </c>
    </row>
    <row r="13" spans="1:2" x14ac:dyDescent="0.2">
      <c r="A13" t="s">
        <v>161</v>
      </c>
      <c r="B13">
        <v>12</v>
      </c>
    </row>
    <row r="14" spans="1:2" x14ac:dyDescent="0.2">
      <c r="A14" t="s">
        <v>148</v>
      </c>
      <c r="B14">
        <v>13</v>
      </c>
    </row>
    <row r="15" spans="1:2" x14ac:dyDescent="0.2">
      <c r="A15" t="s">
        <v>149</v>
      </c>
      <c r="B15">
        <v>14</v>
      </c>
    </row>
    <row r="16" spans="1:2" x14ac:dyDescent="0.2">
      <c r="A16" t="s">
        <v>150</v>
      </c>
      <c r="B16">
        <v>15</v>
      </c>
    </row>
    <row r="17" spans="1:2" x14ac:dyDescent="0.2">
      <c r="A17" t="s">
        <v>151</v>
      </c>
      <c r="B17">
        <v>16</v>
      </c>
    </row>
    <row r="18" spans="1:2" x14ac:dyDescent="0.2">
      <c r="A18" t="s">
        <v>152</v>
      </c>
      <c r="B18">
        <v>17</v>
      </c>
    </row>
    <row r="19" spans="1:2" x14ac:dyDescent="0.2">
      <c r="A19" t="s">
        <v>145</v>
      </c>
      <c r="B19">
        <v>18</v>
      </c>
    </row>
    <row r="20" spans="1:2" x14ac:dyDescent="0.2">
      <c r="A20" t="s">
        <v>141</v>
      </c>
      <c r="B20">
        <v>19</v>
      </c>
    </row>
    <row r="21" spans="1:2" x14ac:dyDescent="0.2">
      <c r="A21" t="s">
        <v>153</v>
      </c>
      <c r="B21">
        <v>20</v>
      </c>
    </row>
    <row r="22" spans="1:2" x14ac:dyDescent="0.2">
      <c r="A22" t="s">
        <v>76</v>
      </c>
      <c r="B22">
        <v>21</v>
      </c>
    </row>
    <row r="23" spans="1:2" x14ac:dyDescent="0.2">
      <c r="A23" t="s">
        <v>69</v>
      </c>
      <c r="B23">
        <v>22</v>
      </c>
    </row>
    <row r="24" spans="1:2" x14ac:dyDescent="0.2">
      <c r="A24" t="s">
        <v>79</v>
      </c>
      <c r="B24">
        <v>23</v>
      </c>
    </row>
    <row r="25" spans="1:2" x14ac:dyDescent="0.2">
      <c r="A25" t="s">
        <v>66</v>
      </c>
      <c r="B25">
        <v>24</v>
      </c>
    </row>
    <row r="26" spans="1:2" x14ac:dyDescent="0.2">
      <c r="A26" t="s">
        <v>154</v>
      </c>
      <c r="B26">
        <v>25</v>
      </c>
    </row>
    <row r="27" spans="1:2" x14ac:dyDescent="0.2">
      <c r="A27" t="s">
        <v>62</v>
      </c>
      <c r="B27">
        <v>26</v>
      </c>
    </row>
    <row r="28" spans="1:2" x14ac:dyDescent="0.2">
      <c r="A28" t="s">
        <v>144</v>
      </c>
      <c r="B28">
        <v>27</v>
      </c>
    </row>
    <row r="29" spans="1:2" x14ac:dyDescent="0.2">
      <c r="A29" t="s">
        <v>146</v>
      </c>
      <c r="B29">
        <v>28</v>
      </c>
    </row>
    <row r="30" spans="1:2" x14ac:dyDescent="0.2">
      <c r="A30" t="s">
        <v>56</v>
      </c>
      <c r="B30">
        <v>29</v>
      </c>
    </row>
    <row r="31" spans="1:2" x14ac:dyDescent="0.2">
      <c r="A31" t="s">
        <v>159</v>
      </c>
      <c r="B31">
        <v>30</v>
      </c>
    </row>
    <row r="32" spans="1:2" x14ac:dyDescent="0.2">
      <c r="A32" t="s">
        <v>155</v>
      </c>
      <c r="B32">
        <v>31</v>
      </c>
    </row>
    <row r="33" spans="1:2" x14ac:dyDescent="0.2">
      <c r="A33" t="s">
        <v>156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>
      <selection activeCell="F3" sqref="F3"/>
    </sheetView>
  </sheetViews>
  <sheetFormatPr defaultRowHeight="12.75" x14ac:dyDescent="0.2"/>
  <cols>
    <col min="1" max="1" width="10.5703125" bestFit="1" customWidth="1"/>
    <col min="2" max="2" width="9.85546875" bestFit="1" customWidth="1"/>
  </cols>
  <sheetData>
    <row r="1" spans="1:2" x14ac:dyDescent="0.2">
      <c r="A1" t="s">
        <v>211</v>
      </c>
      <c r="B1" t="s">
        <v>197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7"/>
  <sheetViews>
    <sheetView workbookViewId="0">
      <selection activeCell="A19" sqref="A19"/>
    </sheetView>
  </sheetViews>
  <sheetFormatPr defaultRowHeight="12.75" x14ac:dyDescent="0.2"/>
  <cols>
    <col min="1" max="1" width="61.5703125" bestFit="1" customWidth="1"/>
    <col min="2" max="2" width="12.5703125" bestFit="1" customWidth="1"/>
  </cols>
  <sheetData>
    <row r="1" spans="1:2" x14ac:dyDescent="0.2">
      <c r="A1" t="s">
        <v>202</v>
      </c>
      <c r="B1" t="s">
        <v>213</v>
      </c>
    </row>
    <row r="2" spans="1:2" x14ac:dyDescent="0.2">
      <c r="A2" s="10" t="s">
        <v>49</v>
      </c>
      <c r="B2">
        <v>1</v>
      </c>
    </row>
    <row r="3" spans="1:2" x14ac:dyDescent="0.2">
      <c r="A3" s="10" t="s">
        <v>120</v>
      </c>
      <c r="B3">
        <v>2</v>
      </c>
    </row>
    <row r="4" spans="1:2" x14ac:dyDescent="0.2">
      <c r="A4" s="10" t="s">
        <v>140</v>
      </c>
      <c r="B4">
        <v>3</v>
      </c>
    </row>
    <row r="5" spans="1:2" x14ac:dyDescent="0.2">
      <c r="A5" s="10" t="s">
        <v>191</v>
      </c>
      <c r="B5">
        <v>4</v>
      </c>
    </row>
    <row r="6" spans="1:2" x14ac:dyDescent="0.2">
      <c r="A6" s="10" t="s">
        <v>192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36</v>
      </c>
      <c r="B8">
        <v>7</v>
      </c>
    </row>
    <row r="9" spans="1:2" x14ac:dyDescent="0.2">
      <c r="A9" s="10" t="s">
        <v>136</v>
      </c>
      <c r="B9">
        <v>8</v>
      </c>
    </row>
    <row r="10" spans="1:2" x14ac:dyDescent="0.2">
      <c r="A10" s="10" t="s">
        <v>128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130</v>
      </c>
      <c r="B12">
        <v>11</v>
      </c>
    </row>
    <row r="13" spans="1:2" x14ac:dyDescent="0.2">
      <c r="A13" s="10" t="s">
        <v>43</v>
      </c>
      <c r="B13">
        <v>12</v>
      </c>
    </row>
    <row r="14" spans="1:2" x14ac:dyDescent="0.2">
      <c r="A14" s="10" t="s">
        <v>37</v>
      </c>
      <c r="B14">
        <v>13</v>
      </c>
    </row>
    <row r="15" spans="1:2" x14ac:dyDescent="0.2">
      <c r="A15" s="10" t="s">
        <v>193</v>
      </c>
      <c r="B15">
        <v>14</v>
      </c>
    </row>
    <row r="16" spans="1:2" x14ac:dyDescent="0.2">
      <c r="A16" s="10" t="s">
        <v>138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132</v>
      </c>
      <c r="B18">
        <v>17</v>
      </c>
    </row>
    <row r="19" spans="1:2" x14ac:dyDescent="0.2">
      <c r="A19" s="10" t="s">
        <v>194</v>
      </c>
      <c r="B19">
        <v>18</v>
      </c>
    </row>
    <row r="20" spans="1:2" x14ac:dyDescent="0.2">
      <c r="A20" s="10" t="s">
        <v>121</v>
      </c>
      <c r="B20">
        <v>19</v>
      </c>
    </row>
    <row r="21" spans="1:2" x14ac:dyDescent="0.2">
      <c r="A21" s="10" t="s">
        <v>17</v>
      </c>
      <c r="B21">
        <v>20</v>
      </c>
    </row>
    <row r="22" spans="1:2" x14ac:dyDescent="0.2">
      <c r="A22" s="10" t="s">
        <v>133</v>
      </c>
      <c r="B22">
        <v>21</v>
      </c>
    </row>
    <row r="23" spans="1:2" x14ac:dyDescent="0.2">
      <c r="A23" s="10" t="s">
        <v>129</v>
      </c>
      <c r="B23">
        <v>22</v>
      </c>
    </row>
    <row r="24" spans="1:2" x14ac:dyDescent="0.2">
      <c r="A24" s="10" t="s">
        <v>122</v>
      </c>
      <c r="B24">
        <v>23</v>
      </c>
    </row>
    <row r="25" spans="1:2" x14ac:dyDescent="0.2">
      <c r="A25" s="10" t="s">
        <v>29</v>
      </c>
      <c r="B25">
        <v>24</v>
      </c>
    </row>
    <row r="26" spans="1:2" x14ac:dyDescent="0.2">
      <c r="A26" s="10" t="s">
        <v>195</v>
      </c>
      <c r="B26">
        <v>25</v>
      </c>
    </row>
    <row r="27" spans="1:2" x14ac:dyDescent="0.2">
      <c r="A27" s="10" t="s">
        <v>196</v>
      </c>
      <c r="B27">
        <v>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D10" sqref="D10"/>
    </sheetView>
  </sheetViews>
  <sheetFormatPr defaultRowHeight="12.75" x14ac:dyDescent="0.2"/>
  <cols>
    <col min="1" max="1" width="29" bestFit="1" customWidth="1"/>
    <col min="2" max="2" width="19.85546875" bestFit="1" customWidth="1"/>
    <col min="3" max="3" width="20" bestFit="1" customWidth="1"/>
    <col min="4" max="4" width="29" bestFit="1" customWidth="1"/>
  </cols>
  <sheetData>
    <row r="1" spans="1:2" x14ac:dyDescent="0.2">
      <c r="A1" t="s">
        <v>204</v>
      </c>
      <c r="B1" t="s">
        <v>217</v>
      </c>
    </row>
    <row r="2" spans="1:2" x14ac:dyDescent="0.2">
      <c r="A2" s="10" t="s">
        <v>187</v>
      </c>
      <c r="B2">
        <v>6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171</v>
      </c>
      <c r="B7">
        <v>10</v>
      </c>
    </row>
    <row r="8" spans="1:2" x14ac:dyDescent="0.2">
      <c r="A8" s="10" t="s">
        <v>48</v>
      </c>
      <c r="B8">
        <v>4</v>
      </c>
    </row>
    <row r="9" spans="1:2" x14ac:dyDescent="0.2">
      <c r="A9" s="10" t="s">
        <v>169</v>
      </c>
      <c r="B9">
        <v>5</v>
      </c>
    </row>
    <row r="10" spans="1:2" x14ac:dyDescent="0.2">
      <c r="A10" s="10" t="s">
        <v>45</v>
      </c>
      <c r="B10">
        <v>12</v>
      </c>
    </row>
    <row r="11" spans="1:2" x14ac:dyDescent="0.2">
      <c r="A11" s="10" t="s">
        <v>118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91</v>
      </c>
      <c r="B13">
        <v>16</v>
      </c>
    </row>
    <row r="14" spans="1:2" x14ac:dyDescent="0.2">
      <c r="A14" s="10" t="s">
        <v>188</v>
      </c>
      <c r="B14">
        <v>17</v>
      </c>
    </row>
    <row r="15" spans="1:2" x14ac:dyDescent="0.2">
      <c r="A15" s="10" t="s">
        <v>53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184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81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65</v>
      </c>
      <c r="B22">
        <v>8</v>
      </c>
    </row>
    <row r="23" spans="1:2" x14ac:dyDescent="0.2">
      <c r="A23" s="10" t="s">
        <v>167</v>
      </c>
      <c r="B23">
        <v>29</v>
      </c>
    </row>
    <row r="24" spans="1:2" x14ac:dyDescent="0.2">
      <c r="A24" s="10" t="s">
        <v>189</v>
      </c>
      <c r="B24">
        <v>19</v>
      </c>
    </row>
    <row r="25" spans="1:2" x14ac:dyDescent="0.2">
      <c r="A25" s="10" t="s">
        <v>38</v>
      </c>
      <c r="B25">
        <v>24</v>
      </c>
    </row>
    <row r="26" spans="1:2" x14ac:dyDescent="0.2">
      <c r="A26" s="10" t="s">
        <v>173</v>
      </c>
      <c r="B26">
        <v>25</v>
      </c>
    </row>
    <row r="27" spans="1:2" x14ac:dyDescent="0.2">
      <c r="A27" s="10" t="s">
        <v>190</v>
      </c>
      <c r="B27">
        <v>26</v>
      </c>
    </row>
    <row r="28" spans="1:2" x14ac:dyDescent="0.2">
      <c r="A28" s="10" t="s">
        <v>170</v>
      </c>
      <c r="B28">
        <v>11</v>
      </c>
    </row>
    <row r="29" spans="1:2" x14ac:dyDescent="0.2">
      <c r="A29" s="10" t="s">
        <v>95</v>
      </c>
      <c r="B29">
        <v>27</v>
      </c>
    </row>
    <row r="30" spans="1:2" x14ac:dyDescent="0.2">
      <c r="A30" s="10" t="s">
        <v>94</v>
      </c>
      <c r="B30">
        <v>28</v>
      </c>
    </row>
    <row r="31" spans="1:2" x14ac:dyDescent="0.2">
      <c r="A31" s="10" t="s">
        <v>75</v>
      </c>
      <c r="B31">
        <v>30</v>
      </c>
    </row>
    <row r="32" spans="1:2" x14ac:dyDescent="0.2">
      <c r="A32" s="10" t="s">
        <v>52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>
      <selection activeCell="C8" sqref="C8"/>
    </sheetView>
  </sheetViews>
  <sheetFormatPr defaultRowHeight="12.75" x14ac:dyDescent="0.2"/>
  <cols>
    <col min="1" max="1" width="30.5703125" bestFit="1" customWidth="1"/>
    <col min="2" max="2" width="18.85546875" bestFit="1" customWidth="1"/>
    <col min="3" max="3" width="30.5703125" bestFit="1" customWidth="1"/>
  </cols>
  <sheetData>
    <row r="1" spans="1:2" x14ac:dyDescent="0.2">
      <c r="A1" t="s">
        <v>204</v>
      </c>
      <c r="B1" t="s">
        <v>215</v>
      </c>
    </row>
    <row r="2" spans="1:2" x14ac:dyDescent="0.2">
      <c r="A2" s="10" t="s">
        <v>187</v>
      </c>
      <c r="B2">
        <v>1</v>
      </c>
    </row>
    <row r="3" spans="1:2" x14ac:dyDescent="0.2">
      <c r="A3" s="10" t="s">
        <v>168</v>
      </c>
      <c r="B3">
        <v>2</v>
      </c>
    </row>
    <row r="4" spans="1:2" x14ac:dyDescent="0.2">
      <c r="A4" s="10" t="s">
        <v>111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183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171</v>
      </c>
      <c r="B9">
        <v>8</v>
      </c>
    </row>
    <row r="10" spans="1:2" x14ac:dyDescent="0.2">
      <c r="A10" s="10" t="s">
        <v>50</v>
      </c>
      <c r="B10">
        <v>10</v>
      </c>
    </row>
    <row r="11" spans="1:2" x14ac:dyDescent="0.2">
      <c r="A11" s="10" t="s">
        <v>48</v>
      </c>
      <c r="B11">
        <v>9</v>
      </c>
    </row>
    <row r="12" spans="1:2" x14ac:dyDescent="0.2">
      <c r="A12" s="10" t="s">
        <v>169</v>
      </c>
      <c r="B12">
        <v>11</v>
      </c>
    </row>
    <row r="13" spans="1:2" x14ac:dyDescent="0.2">
      <c r="A13" s="10" t="s">
        <v>45</v>
      </c>
      <c r="B13">
        <v>12</v>
      </c>
    </row>
    <row r="14" spans="1:2" x14ac:dyDescent="0.2">
      <c r="A14" s="10" t="s">
        <v>118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91</v>
      </c>
      <c r="B16">
        <v>15</v>
      </c>
    </row>
    <row r="17" spans="1:2" x14ac:dyDescent="0.2">
      <c r="A17" s="10" t="s">
        <v>53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184</v>
      </c>
      <c r="B19">
        <v>18</v>
      </c>
    </row>
    <row r="20" spans="1:2" x14ac:dyDescent="0.2">
      <c r="A20" s="10" t="s">
        <v>185</v>
      </c>
      <c r="B20">
        <v>19</v>
      </c>
    </row>
    <row r="21" spans="1:2" x14ac:dyDescent="0.2">
      <c r="A21" s="10" t="s">
        <v>172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164</v>
      </c>
      <c r="B24">
        <v>24</v>
      </c>
    </row>
    <row r="25" spans="1:2" x14ac:dyDescent="0.2">
      <c r="A25" s="10" t="s">
        <v>81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65</v>
      </c>
      <c r="B27">
        <v>26</v>
      </c>
    </row>
    <row r="28" spans="1:2" x14ac:dyDescent="0.2">
      <c r="A28" s="10" t="s">
        <v>167</v>
      </c>
      <c r="B28">
        <v>27</v>
      </c>
    </row>
    <row r="29" spans="1:2" x14ac:dyDescent="0.2">
      <c r="A29" s="10" t="s">
        <v>38</v>
      </c>
      <c r="B29">
        <v>28</v>
      </c>
    </row>
    <row r="30" spans="1:2" x14ac:dyDescent="0.2">
      <c r="A30" s="10" t="s">
        <v>173</v>
      </c>
      <c r="B30">
        <v>29</v>
      </c>
    </row>
    <row r="31" spans="1:2" x14ac:dyDescent="0.2">
      <c r="A31" s="10" t="s">
        <v>166</v>
      </c>
      <c r="B31">
        <v>30</v>
      </c>
    </row>
    <row r="32" spans="1:2" x14ac:dyDescent="0.2">
      <c r="A32" s="10" t="s">
        <v>170</v>
      </c>
      <c r="B32">
        <v>31</v>
      </c>
    </row>
    <row r="33" spans="1:2" x14ac:dyDescent="0.2">
      <c r="A33" s="10" t="s">
        <v>95</v>
      </c>
      <c r="B33">
        <v>32</v>
      </c>
    </row>
    <row r="34" spans="1:2" x14ac:dyDescent="0.2">
      <c r="A34" s="10" t="s">
        <v>186</v>
      </c>
      <c r="B34">
        <v>33</v>
      </c>
    </row>
    <row r="35" spans="1:2" x14ac:dyDescent="0.2">
      <c r="A35" s="10" t="s">
        <v>94</v>
      </c>
      <c r="B35">
        <v>34</v>
      </c>
    </row>
    <row r="36" spans="1:2" x14ac:dyDescent="0.2">
      <c r="A36" s="10" t="s">
        <v>75</v>
      </c>
      <c r="B36">
        <v>35</v>
      </c>
    </row>
    <row r="37" spans="1:2" x14ac:dyDescent="0.2">
      <c r="A37" s="10" t="s">
        <v>52</v>
      </c>
      <c r="B37">
        <v>36</v>
      </c>
    </row>
    <row r="38" spans="1:2" x14ac:dyDescent="0.2">
      <c r="A38" s="10" t="s">
        <v>165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>
      <selection activeCell="E5" sqref="E5"/>
    </sheetView>
  </sheetViews>
  <sheetFormatPr defaultRowHeight="12.75" x14ac:dyDescent="0.2"/>
  <cols>
    <col min="1" max="1" width="81.140625" bestFit="1" customWidth="1"/>
    <col min="2" max="2" width="28.42578125" bestFit="1" customWidth="1"/>
  </cols>
  <sheetData>
    <row r="1" spans="1:2" x14ac:dyDescent="0.2">
      <c r="A1" t="s">
        <v>202</v>
      </c>
      <c r="B1" t="s">
        <v>212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47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>
      <selection activeCell="D9" sqref="D9"/>
    </sheetView>
  </sheetViews>
  <sheetFormatPr defaultRowHeight="12.75" x14ac:dyDescent="0.2"/>
  <cols>
    <col min="1" max="1" width="71.140625" bestFit="1" customWidth="1"/>
    <col min="2" max="2" width="28.140625" bestFit="1" customWidth="1"/>
  </cols>
  <sheetData>
    <row r="1" spans="1:2" x14ac:dyDescent="0.2">
      <c r="A1" s="11" t="s">
        <v>202</v>
      </c>
      <c r="B1" t="s">
        <v>203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176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174</v>
      </c>
      <c r="B5">
        <v>4</v>
      </c>
    </row>
    <row r="6" spans="1:2" x14ac:dyDescent="0.2">
      <c r="A6" s="10" t="s">
        <v>175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topLeftCell="E1" workbookViewId="0">
      <pane ySplit="1" topLeftCell="A2" activePane="bottomLeft" state="frozen"/>
      <selection pane="bottomLeft" activeCell="G13" sqref="G13"/>
    </sheetView>
  </sheetViews>
  <sheetFormatPr defaultColWidth="14.42578125" defaultRowHeight="15.75" customHeight="1" x14ac:dyDescent="0.2"/>
  <cols>
    <col min="1" max="1" width="23.5703125" style="1" bestFit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15" style="1" bestFit="1" customWidth="1"/>
    <col min="6" max="6" width="58.7109375" style="1" bestFit="1" customWidth="1"/>
    <col min="7" max="7" width="168.28515625" style="1" bestFit="1" customWidth="1"/>
    <col min="8" max="8" width="10.5703125" style="1" bestFit="1" customWidth="1"/>
    <col min="9" max="9" width="10.140625" style="1" bestFit="1" customWidth="1"/>
    <col min="10" max="10" width="62.140625" style="1" bestFit="1" customWidth="1"/>
    <col min="11" max="11" width="19.28515625" style="1" bestFit="1" customWidth="1"/>
    <col min="12" max="16384" width="14.42578125" style="1"/>
  </cols>
  <sheetData>
    <row r="1" spans="1:11" s="4" customFormat="1" ht="12.75" x14ac:dyDescent="0.2">
      <c r="A1" s="2" t="s">
        <v>0</v>
      </c>
      <c r="B1" s="3" t="s">
        <v>86</v>
      </c>
      <c r="C1" s="3" t="s">
        <v>87</v>
      </c>
      <c r="D1" s="3" t="s">
        <v>88</v>
      </c>
      <c r="E1" s="3" t="s">
        <v>182</v>
      </c>
      <c r="F1" s="3" t="s">
        <v>89</v>
      </c>
      <c r="G1" s="3" t="s">
        <v>90</v>
      </c>
      <c r="H1" s="3" t="s">
        <v>1</v>
      </c>
      <c r="I1" s="3" t="s">
        <v>2</v>
      </c>
      <c r="J1" s="3" t="s">
        <v>3</v>
      </c>
      <c r="K1" s="3" t="s">
        <v>177</v>
      </c>
    </row>
    <row r="2" spans="1:11" ht="12.75" x14ac:dyDescent="0.2">
      <c r="A2" s="5">
        <v>42860.598111909727</v>
      </c>
      <c r="B2" s="6" t="s">
        <v>30</v>
      </c>
      <c r="C2" s="6" t="s">
        <v>174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160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174</v>
      </c>
      <c r="D3" s="6" t="s">
        <v>10</v>
      </c>
      <c r="E3" s="6" t="b">
        <v>1</v>
      </c>
      <c r="F3" s="6" t="s">
        <v>9</v>
      </c>
      <c r="G3" s="6" t="s">
        <v>122</v>
      </c>
      <c r="H3" s="6" t="s">
        <v>8</v>
      </c>
      <c r="I3" s="6">
        <v>18</v>
      </c>
      <c r="J3" s="6" t="s">
        <v>141</v>
      </c>
      <c r="K3" s="6" t="b">
        <v>0</v>
      </c>
    </row>
    <row r="4" spans="1:11" ht="12.75" x14ac:dyDescent="0.2">
      <c r="A4" s="5">
        <v>42859.830878472218</v>
      </c>
      <c r="B4" s="6" t="s">
        <v>99</v>
      </c>
      <c r="C4" s="6" t="s">
        <v>178</v>
      </c>
      <c r="D4" s="6" t="s">
        <v>21</v>
      </c>
      <c r="E4" s="6" t="b">
        <v>1</v>
      </c>
      <c r="F4" s="6" t="s">
        <v>19</v>
      </c>
      <c r="G4" s="6" t="s">
        <v>135</v>
      </c>
      <c r="H4" s="6" t="s">
        <v>8</v>
      </c>
      <c r="I4" s="6">
        <v>19</v>
      </c>
      <c r="J4" s="6" t="s">
        <v>162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51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174</v>
      </c>
      <c r="D6" s="6" t="s">
        <v>10</v>
      </c>
      <c r="E6" s="6" t="b">
        <v>1</v>
      </c>
      <c r="F6" s="6" t="s">
        <v>32</v>
      </c>
      <c r="G6" s="6" t="s">
        <v>43</v>
      </c>
      <c r="H6" s="6" t="s">
        <v>8</v>
      </c>
      <c r="I6" s="6">
        <v>19</v>
      </c>
      <c r="J6" s="6" t="s">
        <v>161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141</v>
      </c>
      <c r="K7" s="6" t="b">
        <v>0</v>
      </c>
    </row>
    <row r="8" spans="1:11" ht="12.75" x14ac:dyDescent="0.2">
      <c r="A8" s="5">
        <v>42857.757883530096</v>
      </c>
      <c r="B8" s="6" t="s">
        <v>98</v>
      </c>
      <c r="C8" s="6" t="s">
        <v>174</v>
      </c>
      <c r="D8" s="6" t="s">
        <v>21</v>
      </c>
      <c r="E8" s="6" t="b">
        <v>1</v>
      </c>
      <c r="F8" s="6" t="s">
        <v>22</v>
      </c>
      <c r="G8" s="6" t="s">
        <v>122</v>
      </c>
      <c r="H8" s="6" t="s">
        <v>8</v>
      </c>
      <c r="I8" s="6">
        <v>19</v>
      </c>
      <c r="J8" s="6" t="s">
        <v>141</v>
      </c>
      <c r="K8" s="6" t="b">
        <v>1</v>
      </c>
    </row>
    <row r="9" spans="1:11" ht="12.75" x14ac:dyDescent="0.2">
      <c r="A9" s="5">
        <v>42857.762932488426</v>
      </c>
      <c r="B9" s="6" t="s">
        <v>91</v>
      </c>
      <c r="C9" s="6" t="s">
        <v>5</v>
      </c>
      <c r="D9" s="6" t="s">
        <v>6</v>
      </c>
      <c r="E9" s="6" t="b">
        <v>1</v>
      </c>
      <c r="F9" s="6" t="s">
        <v>91</v>
      </c>
      <c r="G9" s="6" t="s">
        <v>7</v>
      </c>
      <c r="H9" s="6" t="s">
        <v>8</v>
      </c>
      <c r="I9" s="6">
        <v>19</v>
      </c>
      <c r="J9" s="6" t="s">
        <v>141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176</v>
      </c>
      <c r="D10" s="6" t="s">
        <v>15</v>
      </c>
      <c r="E10" s="6" t="b">
        <v>1</v>
      </c>
      <c r="F10" s="6" t="s">
        <v>19</v>
      </c>
      <c r="G10" s="6" t="s">
        <v>123</v>
      </c>
      <c r="H10" s="6" t="s">
        <v>8</v>
      </c>
      <c r="I10" s="6">
        <v>19</v>
      </c>
      <c r="J10" s="6" t="s">
        <v>141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174</v>
      </c>
      <c r="D11" s="6" t="s">
        <v>25</v>
      </c>
      <c r="E11" s="6" t="b">
        <v>1</v>
      </c>
      <c r="F11" s="6" t="s">
        <v>33</v>
      </c>
      <c r="G11" s="6" t="s">
        <v>133</v>
      </c>
      <c r="H11" s="6" t="s">
        <v>8</v>
      </c>
      <c r="I11" s="6">
        <v>19</v>
      </c>
      <c r="J11" s="6" t="s">
        <v>141</v>
      </c>
      <c r="K11" s="6" t="b">
        <v>0</v>
      </c>
    </row>
    <row r="12" spans="1:11" ht="12.75" x14ac:dyDescent="0.2">
      <c r="A12" s="5">
        <v>42857.904592094907</v>
      </c>
      <c r="B12" s="6" t="s">
        <v>44</v>
      </c>
      <c r="C12" s="6" t="s">
        <v>176</v>
      </c>
      <c r="D12" s="6" t="s">
        <v>10</v>
      </c>
      <c r="E12" s="6" t="b">
        <v>1</v>
      </c>
      <c r="F12" s="6" t="s">
        <v>35</v>
      </c>
      <c r="G12" s="6" t="s">
        <v>29</v>
      </c>
      <c r="H12" s="6" t="s">
        <v>8</v>
      </c>
      <c r="I12" s="6">
        <v>19</v>
      </c>
      <c r="J12" s="6" t="s">
        <v>141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176</v>
      </c>
      <c r="D13" s="6" t="s">
        <v>25</v>
      </c>
      <c r="E13" s="6" t="b">
        <v>0</v>
      </c>
      <c r="F13" s="6" t="s">
        <v>19</v>
      </c>
      <c r="G13" s="6" t="s">
        <v>43</v>
      </c>
      <c r="H13" s="6" t="s">
        <v>8</v>
      </c>
      <c r="I13" s="6">
        <v>19</v>
      </c>
      <c r="J13" s="6" t="s">
        <v>141</v>
      </c>
      <c r="K13" s="6" t="b">
        <v>1</v>
      </c>
    </row>
    <row r="14" spans="1:11" ht="12.75" x14ac:dyDescent="0.2">
      <c r="A14" s="5">
        <v>42858.598552187497</v>
      </c>
      <c r="B14" s="6" t="s">
        <v>91</v>
      </c>
      <c r="C14" s="6" t="s">
        <v>5</v>
      </c>
      <c r="D14" s="6" t="s">
        <v>42</v>
      </c>
      <c r="E14" s="6" t="b">
        <v>1</v>
      </c>
      <c r="F14" s="6" t="s">
        <v>113</v>
      </c>
      <c r="G14" s="6" t="s">
        <v>127</v>
      </c>
      <c r="H14" s="6" t="s">
        <v>8</v>
      </c>
      <c r="I14" s="6">
        <v>19</v>
      </c>
      <c r="J14" s="6" t="s">
        <v>141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133</v>
      </c>
      <c r="H15" s="6" t="s">
        <v>8</v>
      </c>
      <c r="I15" s="6">
        <v>19</v>
      </c>
      <c r="J15" s="6" t="s">
        <v>141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153</v>
      </c>
      <c r="K16" s="6" t="b">
        <v>0</v>
      </c>
    </row>
    <row r="17" spans="1:11" ht="12.75" x14ac:dyDescent="0.2">
      <c r="A17" s="5">
        <v>42860.07327040509</v>
      </c>
      <c r="B17" s="6" t="s">
        <v>101</v>
      </c>
      <c r="C17" s="6" t="s">
        <v>176</v>
      </c>
      <c r="D17" s="6" t="s">
        <v>47</v>
      </c>
      <c r="E17" s="6" t="b">
        <v>1</v>
      </c>
      <c r="F17" s="6" t="s">
        <v>38</v>
      </c>
      <c r="G17" s="6" t="s">
        <v>122</v>
      </c>
      <c r="H17" s="6" t="s">
        <v>8</v>
      </c>
      <c r="I17" s="6">
        <v>19</v>
      </c>
      <c r="J17" s="6" t="s">
        <v>153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69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176</v>
      </c>
      <c r="D19" s="6" t="s">
        <v>6</v>
      </c>
      <c r="E19" s="6" t="b">
        <v>1</v>
      </c>
      <c r="F19" s="6" t="s">
        <v>61</v>
      </c>
      <c r="G19" s="6" t="s">
        <v>7</v>
      </c>
      <c r="H19" s="6" t="s">
        <v>8</v>
      </c>
      <c r="I19" s="6">
        <v>19</v>
      </c>
      <c r="J19" s="6" t="s">
        <v>69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62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62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178</v>
      </c>
      <c r="D22" s="6" t="s">
        <v>21</v>
      </c>
      <c r="E22" s="6" t="b">
        <v>1</v>
      </c>
      <c r="F22" s="6" t="s">
        <v>19</v>
      </c>
      <c r="G22" s="6" t="s">
        <v>43</v>
      </c>
      <c r="H22" s="6" t="s">
        <v>13</v>
      </c>
      <c r="I22" s="6">
        <v>19</v>
      </c>
      <c r="J22" s="6" t="s">
        <v>155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174</v>
      </c>
      <c r="D23" s="6" t="s">
        <v>10</v>
      </c>
      <c r="E23" s="6" t="b">
        <v>1</v>
      </c>
      <c r="F23" s="6" t="s">
        <v>9</v>
      </c>
      <c r="G23" s="6" t="s">
        <v>122</v>
      </c>
      <c r="H23" s="6" t="s">
        <v>8</v>
      </c>
      <c r="I23" s="6">
        <v>19</v>
      </c>
      <c r="J23" s="6" t="s">
        <v>155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176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175</v>
      </c>
      <c r="D26" s="6" t="s">
        <v>47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174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143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178</v>
      </c>
      <c r="D28" s="6" t="s">
        <v>21</v>
      </c>
      <c r="E28" s="6" t="b">
        <v>1</v>
      </c>
      <c r="F28" s="6" t="s">
        <v>9</v>
      </c>
      <c r="G28" s="6" t="s">
        <v>43</v>
      </c>
      <c r="H28" s="6" t="s">
        <v>8</v>
      </c>
      <c r="I28" s="6">
        <v>20</v>
      </c>
      <c r="J28" s="6" t="s">
        <v>162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176</v>
      </c>
      <c r="D29" s="6" t="s">
        <v>10</v>
      </c>
      <c r="E29" s="6" t="b">
        <v>0</v>
      </c>
      <c r="F29" s="6" t="s">
        <v>35</v>
      </c>
      <c r="G29" s="6" t="s">
        <v>49</v>
      </c>
      <c r="H29" s="6" t="s">
        <v>8</v>
      </c>
      <c r="I29" s="6">
        <v>20</v>
      </c>
      <c r="J29" s="6" t="s">
        <v>162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51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178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158</v>
      </c>
      <c r="K31" s="6" t="b">
        <v>1</v>
      </c>
    </row>
    <row r="32" spans="1:11" ht="12.75" x14ac:dyDescent="0.2">
      <c r="A32" s="5">
        <v>42862.776364212958</v>
      </c>
      <c r="B32" s="6" t="s">
        <v>48</v>
      </c>
      <c r="C32" s="6" t="s">
        <v>5</v>
      </c>
      <c r="D32" s="6" t="s">
        <v>10</v>
      </c>
      <c r="E32" s="6" t="b">
        <v>0</v>
      </c>
      <c r="F32" s="6" t="s">
        <v>48</v>
      </c>
      <c r="G32" s="6" t="s">
        <v>7</v>
      </c>
      <c r="H32" s="6" t="s">
        <v>8</v>
      </c>
      <c r="I32" s="6">
        <v>20</v>
      </c>
      <c r="J32" s="6" t="s">
        <v>158</v>
      </c>
      <c r="K32" s="6" t="b">
        <v>0</v>
      </c>
    </row>
    <row r="33" spans="1:11" ht="12.75" x14ac:dyDescent="0.2">
      <c r="A33" s="5">
        <v>42859.618636284722</v>
      </c>
      <c r="B33" s="6" t="s">
        <v>112</v>
      </c>
      <c r="C33" s="6" t="s">
        <v>176</v>
      </c>
      <c r="D33" s="6" t="s">
        <v>41</v>
      </c>
      <c r="E33" s="6" t="b">
        <v>1</v>
      </c>
      <c r="F33" s="6" t="s">
        <v>57</v>
      </c>
      <c r="G33" s="6" t="s">
        <v>132</v>
      </c>
      <c r="H33" s="6" t="s">
        <v>13</v>
      </c>
      <c r="I33" s="6">
        <v>20</v>
      </c>
      <c r="J33" s="6" t="s">
        <v>58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178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58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178</v>
      </c>
      <c r="D35" s="6" t="s">
        <v>21</v>
      </c>
      <c r="E35" s="6" t="b">
        <v>1</v>
      </c>
      <c r="F35" s="6" t="s">
        <v>60</v>
      </c>
      <c r="G35" s="6" t="s">
        <v>80</v>
      </c>
      <c r="H35" s="6" t="s">
        <v>8</v>
      </c>
      <c r="I35" s="6">
        <v>20</v>
      </c>
      <c r="J35" s="6" t="s">
        <v>160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176</v>
      </c>
      <c r="D36" s="6" t="s">
        <v>41</v>
      </c>
      <c r="E36" s="6" t="b">
        <v>1</v>
      </c>
      <c r="F36" s="6" t="s">
        <v>9</v>
      </c>
      <c r="G36" s="6" t="s">
        <v>43</v>
      </c>
      <c r="H36" s="6" t="s">
        <v>13</v>
      </c>
      <c r="I36" s="6">
        <v>20</v>
      </c>
      <c r="J36" s="6" t="s">
        <v>149</v>
      </c>
      <c r="K36" s="6" t="b">
        <v>1</v>
      </c>
    </row>
    <row r="37" spans="1:11" ht="12.75" x14ac:dyDescent="0.2">
      <c r="A37" s="5">
        <v>42859.617908425927</v>
      </c>
      <c r="B37" s="6" t="s">
        <v>94</v>
      </c>
      <c r="C37" s="6" t="s">
        <v>176</v>
      </c>
      <c r="D37" s="6" t="s">
        <v>47</v>
      </c>
      <c r="E37" s="6" t="b">
        <v>1</v>
      </c>
      <c r="F37" s="6" t="s">
        <v>45</v>
      </c>
      <c r="G37" s="6" t="s">
        <v>7</v>
      </c>
      <c r="H37" s="6" t="s">
        <v>13</v>
      </c>
      <c r="I37" s="6">
        <v>20</v>
      </c>
      <c r="J37" s="6" t="s">
        <v>150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178</v>
      </c>
      <c r="D38" s="6" t="s">
        <v>21</v>
      </c>
      <c r="E38" s="6" t="b">
        <v>1</v>
      </c>
      <c r="F38" s="6" t="s">
        <v>26</v>
      </c>
      <c r="G38" s="6" t="s">
        <v>122</v>
      </c>
      <c r="H38" s="6" t="s">
        <v>13</v>
      </c>
      <c r="I38" s="6">
        <v>20</v>
      </c>
      <c r="J38" s="6" t="s">
        <v>151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174</v>
      </c>
      <c r="D39" s="6" t="s">
        <v>15</v>
      </c>
      <c r="E39" s="6" t="b">
        <v>1</v>
      </c>
      <c r="F39" s="6" t="s">
        <v>9</v>
      </c>
      <c r="G39" s="6" t="s">
        <v>122</v>
      </c>
      <c r="H39" s="6" t="s">
        <v>13</v>
      </c>
      <c r="I39" s="6">
        <v>20</v>
      </c>
      <c r="J39" s="6" t="s">
        <v>152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176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141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178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141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175</v>
      </c>
      <c r="D42" s="6" t="s">
        <v>10</v>
      </c>
      <c r="E42" s="6" t="b">
        <v>1</v>
      </c>
      <c r="F42" s="6" t="s">
        <v>30</v>
      </c>
      <c r="G42" s="6" t="s">
        <v>49</v>
      </c>
      <c r="H42" s="6" t="s">
        <v>8</v>
      </c>
      <c r="I42" s="6">
        <v>20</v>
      </c>
      <c r="J42" s="6" t="s">
        <v>141</v>
      </c>
      <c r="K42" s="6" t="b">
        <v>0</v>
      </c>
    </row>
    <row r="43" spans="1:11" ht="12.75" x14ac:dyDescent="0.2">
      <c r="A43" s="5">
        <v>42857.816325057865</v>
      </c>
      <c r="B43" s="6" t="s">
        <v>92</v>
      </c>
      <c r="C43" s="6" t="s">
        <v>176</v>
      </c>
      <c r="D43" s="6" t="s">
        <v>10</v>
      </c>
      <c r="E43" s="6" t="b">
        <v>1</v>
      </c>
      <c r="F43" s="6" t="s">
        <v>33</v>
      </c>
      <c r="G43" s="6" t="s">
        <v>120</v>
      </c>
      <c r="H43" s="6" t="s">
        <v>8</v>
      </c>
      <c r="I43" s="6">
        <v>20</v>
      </c>
      <c r="J43" s="6" t="s">
        <v>141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175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141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141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141</v>
      </c>
      <c r="K46" s="6" t="b">
        <v>0</v>
      </c>
    </row>
    <row r="47" spans="1:11" ht="12.75" x14ac:dyDescent="0.2">
      <c r="A47" s="5">
        <v>42858.600638159725</v>
      </c>
      <c r="B47" s="6" t="s">
        <v>52</v>
      </c>
      <c r="C47" s="6" t="s">
        <v>176</v>
      </c>
      <c r="D47" s="6" t="s">
        <v>21</v>
      </c>
      <c r="E47" s="6" t="b">
        <v>1</v>
      </c>
      <c r="F47" s="6" t="s">
        <v>52</v>
      </c>
      <c r="G47" s="6" t="s">
        <v>128</v>
      </c>
      <c r="H47" s="6" t="s">
        <v>8</v>
      </c>
      <c r="I47" s="6">
        <v>20</v>
      </c>
      <c r="J47" s="6" t="s">
        <v>141</v>
      </c>
      <c r="K47" s="6" t="b">
        <v>0</v>
      </c>
    </row>
    <row r="48" spans="1:11" ht="12.75" x14ac:dyDescent="0.2">
      <c r="A48" s="5">
        <v>42858.603932175931</v>
      </c>
      <c r="B48" s="6" t="s">
        <v>53</v>
      </c>
      <c r="C48" s="6" t="s">
        <v>178</v>
      </c>
      <c r="D48" s="6" t="s">
        <v>15</v>
      </c>
      <c r="E48" s="6" t="b">
        <v>1</v>
      </c>
      <c r="F48" s="6" t="s">
        <v>53</v>
      </c>
      <c r="G48" s="6" t="s">
        <v>129</v>
      </c>
      <c r="H48" s="6" t="s">
        <v>8</v>
      </c>
      <c r="I48" s="6">
        <v>20</v>
      </c>
      <c r="J48" s="6" t="s">
        <v>141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179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141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174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141</v>
      </c>
      <c r="K50" s="6" t="b">
        <v>0</v>
      </c>
    </row>
    <row r="51" spans="1:11" ht="12.75" x14ac:dyDescent="0.2">
      <c r="A51" s="5">
        <v>42859.41366799768</v>
      </c>
      <c r="B51" s="6" t="s">
        <v>93</v>
      </c>
      <c r="C51" s="6" t="s">
        <v>178</v>
      </c>
      <c r="D51" s="6" t="s">
        <v>21</v>
      </c>
      <c r="E51" s="6" t="b">
        <v>1</v>
      </c>
      <c r="F51" s="6" t="s">
        <v>38</v>
      </c>
      <c r="G51" s="6" t="s">
        <v>17</v>
      </c>
      <c r="H51" s="6" t="s">
        <v>8</v>
      </c>
      <c r="I51" s="6">
        <v>20</v>
      </c>
      <c r="J51" s="6" t="s">
        <v>141</v>
      </c>
      <c r="K51" s="6" t="b">
        <v>0</v>
      </c>
    </row>
    <row r="52" spans="1:11" ht="12.75" x14ac:dyDescent="0.2">
      <c r="A52" s="5">
        <v>42860.661766956022</v>
      </c>
      <c r="B52" s="6" t="s">
        <v>103</v>
      </c>
      <c r="C52" s="6" t="s">
        <v>178</v>
      </c>
      <c r="D52" s="6" t="s">
        <v>15</v>
      </c>
      <c r="E52" s="6" t="b">
        <v>1</v>
      </c>
      <c r="F52" s="6" t="s">
        <v>55</v>
      </c>
      <c r="G52" s="6" t="s">
        <v>126</v>
      </c>
      <c r="H52" s="6" t="s">
        <v>8</v>
      </c>
      <c r="I52" s="6">
        <v>20</v>
      </c>
      <c r="J52" s="6" t="s">
        <v>141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176</v>
      </c>
      <c r="D53" s="6" t="s">
        <v>42</v>
      </c>
      <c r="E53" s="6" t="b">
        <v>1</v>
      </c>
      <c r="F53" s="6" t="s">
        <v>30</v>
      </c>
      <c r="G53" s="6" t="s">
        <v>49</v>
      </c>
      <c r="H53" s="6" t="s">
        <v>8</v>
      </c>
      <c r="I53" s="6">
        <v>20</v>
      </c>
      <c r="J53" s="6" t="s">
        <v>141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178</v>
      </c>
      <c r="D54" s="6" t="s">
        <v>10</v>
      </c>
      <c r="E54" s="6" t="b">
        <v>1</v>
      </c>
      <c r="F54" s="6" t="s">
        <v>33</v>
      </c>
      <c r="G54" s="6" t="s">
        <v>130</v>
      </c>
      <c r="H54" s="6" t="s">
        <v>8</v>
      </c>
      <c r="I54" s="6">
        <v>20</v>
      </c>
      <c r="J54" s="6" t="s">
        <v>141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76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174</v>
      </c>
      <c r="D56" s="6" t="s">
        <v>10</v>
      </c>
      <c r="E56" s="6" t="b">
        <v>1</v>
      </c>
      <c r="F56" s="6" t="s">
        <v>9</v>
      </c>
      <c r="G56" s="6" t="s">
        <v>122</v>
      </c>
      <c r="H56" s="6" t="s">
        <v>8</v>
      </c>
      <c r="I56" s="6">
        <v>20</v>
      </c>
      <c r="J56" s="6" t="s">
        <v>76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76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174</v>
      </c>
      <c r="D58" s="6" t="s">
        <v>6</v>
      </c>
      <c r="E58" s="6" t="b">
        <v>0</v>
      </c>
      <c r="F58" s="6" t="s">
        <v>9</v>
      </c>
      <c r="G58" s="6" t="s">
        <v>43</v>
      </c>
      <c r="H58" s="6" t="s">
        <v>8</v>
      </c>
      <c r="I58" s="6">
        <v>20</v>
      </c>
      <c r="J58" s="6" t="s">
        <v>76</v>
      </c>
      <c r="K58" s="6" t="b">
        <v>0</v>
      </c>
    </row>
    <row r="59" spans="1:11" ht="12.75" x14ac:dyDescent="0.2">
      <c r="A59" s="5">
        <v>42862.774198854167</v>
      </c>
      <c r="B59" s="6" t="s">
        <v>35</v>
      </c>
      <c r="C59" s="6" t="s">
        <v>176</v>
      </c>
      <c r="D59" s="6" t="s">
        <v>10</v>
      </c>
      <c r="E59" s="6" t="b">
        <v>1</v>
      </c>
      <c r="F59" s="6" t="s">
        <v>35</v>
      </c>
      <c r="G59" s="6" t="s">
        <v>29</v>
      </c>
      <c r="H59" s="6" t="s">
        <v>8</v>
      </c>
      <c r="I59" s="6">
        <v>20</v>
      </c>
      <c r="J59" s="6" t="s">
        <v>76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175</v>
      </c>
      <c r="D60" s="6" t="s">
        <v>21</v>
      </c>
      <c r="E60" s="6" t="b">
        <v>1</v>
      </c>
      <c r="F60" s="6" t="s">
        <v>60</v>
      </c>
      <c r="G60" s="6" t="s">
        <v>17</v>
      </c>
      <c r="H60" s="6" t="s">
        <v>8</v>
      </c>
      <c r="I60" s="6">
        <v>20</v>
      </c>
      <c r="J60" s="6" t="s">
        <v>76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176</v>
      </c>
      <c r="D61" s="6" t="s">
        <v>47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76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69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174</v>
      </c>
      <c r="D63" s="6" t="s">
        <v>10</v>
      </c>
      <c r="E63" s="6" t="b">
        <v>1</v>
      </c>
      <c r="F63" s="6" t="s">
        <v>30</v>
      </c>
      <c r="G63" s="6" t="s">
        <v>49</v>
      </c>
      <c r="H63" s="6" t="s">
        <v>8</v>
      </c>
      <c r="I63" s="6">
        <v>20</v>
      </c>
      <c r="J63" s="6" t="s">
        <v>69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69</v>
      </c>
      <c r="K64" s="6" t="b">
        <v>0</v>
      </c>
    </row>
    <row r="65" spans="1:11" ht="12.75" x14ac:dyDescent="0.2">
      <c r="A65" s="5">
        <v>42862.766852083332</v>
      </c>
      <c r="B65" s="6" t="s">
        <v>107</v>
      </c>
      <c r="C65" s="6" t="s">
        <v>176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79</v>
      </c>
      <c r="K65" s="6" t="b">
        <v>0</v>
      </c>
    </row>
    <row r="66" spans="1:11" ht="12.75" x14ac:dyDescent="0.2">
      <c r="A66" s="5">
        <v>42859.673824386569</v>
      </c>
      <c r="B66" s="6" t="s">
        <v>59</v>
      </c>
      <c r="C66" s="6" t="s">
        <v>176</v>
      </c>
      <c r="D66" s="6" t="s">
        <v>10</v>
      </c>
      <c r="E66" s="6" t="b">
        <v>0</v>
      </c>
      <c r="F66" s="6" t="s">
        <v>59</v>
      </c>
      <c r="G66" s="6" t="s">
        <v>7</v>
      </c>
      <c r="H66" s="6" t="s">
        <v>13</v>
      </c>
      <c r="I66" s="6">
        <v>20</v>
      </c>
      <c r="J66" s="6" t="s">
        <v>160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178</v>
      </c>
      <c r="D67" s="6" t="s">
        <v>21</v>
      </c>
      <c r="E67" s="6" t="b">
        <v>1</v>
      </c>
      <c r="F67" s="6" t="s">
        <v>9</v>
      </c>
      <c r="G67" s="6" t="s">
        <v>43</v>
      </c>
      <c r="H67" s="6" t="s">
        <v>8</v>
      </c>
      <c r="I67" s="6">
        <v>20</v>
      </c>
      <c r="J67" s="6" t="s">
        <v>154</v>
      </c>
      <c r="K67" s="6" t="b">
        <v>1</v>
      </c>
    </row>
    <row r="68" spans="1:11" ht="12.75" x14ac:dyDescent="0.2">
      <c r="A68" s="5">
        <v>42862.764788969907</v>
      </c>
      <c r="B68" s="6" t="s">
        <v>45</v>
      </c>
      <c r="C68" s="6" t="s">
        <v>176</v>
      </c>
      <c r="D68" s="6" t="s">
        <v>41</v>
      </c>
      <c r="E68" s="6" t="b">
        <v>1</v>
      </c>
      <c r="F68" s="6" t="s">
        <v>45</v>
      </c>
      <c r="G68" s="6" t="s">
        <v>7</v>
      </c>
      <c r="H68" s="6" t="s">
        <v>8</v>
      </c>
      <c r="I68" s="6">
        <v>20</v>
      </c>
      <c r="J68" s="6" t="s">
        <v>144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146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178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146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56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56</v>
      </c>
      <c r="K72" s="6" t="b">
        <v>0</v>
      </c>
    </row>
    <row r="73" spans="1:11" ht="12.75" x14ac:dyDescent="0.2">
      <c r="A73" s="5">
        <v>42860.109114502317</v>
      </c>
      <c r="B73" s="6" t="s">
        <v>60</v>
      </c>
      <c r="C73" s="6" t="s">
        <v>178</v>
      </c>
      <c r="D73" s="6" t="s">
        <v>21</v>
      </c>
      <c r="E73" s="6" t="b">
        <v>1</v>
      </c>
      <c r="F73" s="6" t="s">
        <v>60</v>
      </c>
      <c r="G73" s="6" t="s">
        <v>64</v>
      </c>
      <c r="H73" s="6" t="s">
        <v>8</v>
      </c>
      <c r="I73" s="6">
        <v>20</v>
      </c>
      <c r="J73" s="6" t="s">
        <v>56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56</v>
      </c>
      <c r="K74" s="6" t="b">
        <v>0</v>
      </c>
    </row>
    <row r="75" spans="1:11" ht="12.75" x14ac:dyDescent="0.2">
      <c r="A75" s="5">
        <v>42860.567644351853</v>
      </c>
      <c r="B75" s="6" t="s">
        <v>67</v>
      </c>
      <c r="C75" s="6" t="s">
        <v>174</v>
      </c>
      <c r="D75" s="6" t="s">
        <v>21</v>
      </c>
      <c r="E75" s="6" t="b">
        <v>1</v>
      </c>
      <c r="F75" s="6" t="s">
        <v>46</v>
      </c>
      <c r="G75" s="6" t="s">
        <v>7</v>
      </c>
      <c r="H75" s="6" t="s">
        <v>8</v>
      </c>
      <c r="I75" s="6">
        <v>20</v>
      </c>
      <c r="J75" s="6" t="s">
        <v>56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174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176</v>
      </c>
      <c r="D77" s="6" t="s">
        <v>10</v>
      </c>
      <c r="E77" s="6" t="b">
        <v>1</v>
      </c>
      <c r="F77" s="6" t="s">
        <v>48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175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39</v>
      </c>
      <c r="C79" s="6" t="s">
        <v>176</v>
      </c>
      <c r="D79" s="6" t="s">
        <v>25</v>
      </c>
      <c r="E79" s="6" t="b">
        <v>0</v>
      </c>
      <c r="F79" s="6" t="s">
        <v>19</v>
      </c>
      <c r="G79" s="6" t="s">
        <v>40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178</v>
      </c>
      <c r="D80" s="6" t="s">
        <v>41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174</v>
      </c>
      <c r="D81" s="6" t="s">
        <v>10</v>
      </c>
      <c r="E81" s="6" t="b">
        <v>1</v>
      </c>
      <c r="F81" s="6" t="s">
        <v>32</v>
      </c>
      <c r="G81" s="6" t="s">
        <v>43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97</v>
      </c>
      <c r="C82" s="6" t="s">
        <v>176</v>
      </c>
      <c r="D82" s="6" t="s">
        <v>10</v>
      </c>
      <c r="E82" s="6" t="b">
        <v>1</v>
      </c>
      <c r="F82" s="6" t="s">
        <v>97</v>
      </c>
      <c r="G82" s="6" t="s">
        <v>43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176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45</v>
      </c>
      <c r="C84" s="6" t="s">
        <v>176</v>
      </c>
      <c r="D84" s="6" t="s">
        <v>41</v>
      </c>
      <c r="E84" s="6" t="b">
        <v>1</v>
      </c>
      <c r="F84" s="6" t="s">
        <v>46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178</v>
      </c>
      <c r="D85" s="6" t="s">
        <v>21</v>
      </c>
      <c r="E85" s="6" t="b">
        <v>1</v>
      </c>
      <c r="F85" s="6" t="s">
        <v>9</v>
      </c>
      <c r="G85" s="6" t="s">
        <v>43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176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175</v>
      </c>
      <c r="D87" s="6" t="s">
        <v>10</v>
      </c>
      <c r="E87" s="6" t="b">
        <v>1</v>
      </c>
      <c r="F87" s="6" t="s">
        <v>30</v>
      </c>
      <c r="G87" s="6" t="s">
        <v>49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48</v>
      </c>
      <c r="C88" s="6" t="s">
        <v>176</v>
      </c>
      <c r="D88" s="6" t="s">
        <v>10</v>
      </c>
      <c r="E88" s="6" t="b">
        <v>1</v>
      </c>
      <c r="F88" s="6" t="s">
        <v>48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178</v>
      </c>
      <c r="D91" s="6" t="s">
        <v>10</v>
      </c>
      <c r="E91" s="6" t="b">
        <v>1</v>
      </c>
      <c r="F91" s="6" t="s">
        <v>9</v>
      </c>
      <c r="G91" s="6" t="s">
        <v>125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176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163</v>
      </c>
      <c r="C93" s="6" t="s">
        <v>176</v>
      </c>
      <c r="D93" s="6" t="s">
        <v>10</v>
      </c>
      <c r="E93" s="6" t="b">
        <v>1</v>
      </c>
      <c r="F93" s="6" t="s">
        <v>119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102</v>
      </c>
      <c r="C94" s="6" t="s">
        <v>175</v>
      </c>
      <c r="D94" s="6" t="s">
        <v>10</v>
      </c>
      <c r="E94" s="6" t="b">
        <v>1</v>
      </c>
      <c r="F94" s="6" t="s">
        <v>102</v>
      </c>
      <c r="G94" s="6" t="s">
        <v>31</v>
      </c>
      <c r="H94" s="6" t="s">
        <v>8</v>
      </c>
      <c r="I94" s="6">
        <v>21</v>
      </c>
      <c r="J94" s="6" t="s">
        <v>157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174</v>
      </c>
      <c r="D95" s="6" t="s">
        <v>47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83</v>
      </c>
      <c r="K95" s="6" t="b">
        <v>0</v>
      </c>
    </row>
    <row r="96" spans="1:11" ht="12.75" x14ac:dyDescent="0.2">
      <c r="A96" s="5">
        <v>42860.711341331014</v>
      </c>
      <c r="B96" s="6" t="s">
        <v>53</v>
      </c>
      <c r="C96" s="6" t="s">
        <v>178</v>
      </c>
      <c r="D96" s="6" t="s">
        <v>21</v>
      </c>
      <c r="E96" s="6" t="b">
        <v>1</v>
      </c>
      <c r="F96" s="6" t="s">
        <v>53</v>
      </c>
      <c r="G96" s="6" t="s">
        <v>129</v>
      </c>
      <c r="H96" s="6" t="s">
        <v>13</v>
      </c>
      <c r="I96" s="6">
        <v>21</v>
      </c>
      <c r="J96" s="6" t="s">
        <v>83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162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176</v>
      </c>
      <c r="D98" s="6" t="s">
        <v>47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51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178</v>
      </c>
      <c r="D99" s="6" t="s">
        <v>21</v>
      </c>
      <c r="E99" s="6" t="b">
        <v>1</v>
      </c>
      <c r="F99" s="6" t="s">
        <v>9</v>
      </c>
      <c r="G99" s="6" t="s">
        <v>43</v>
      </c>
      <c r="H99" s="6" t="s">
        <v>13</v>
      </c>
      <c r="I99" s="6">
        <v>21</v>
      </c>
      <c r="J99" s="6" t="s">
        <v>145</v>
      </c>
      <c r="K99" s="6" t="b">
        <v>1</v>
      </c>
    </row>
    <row r="100" spans="1:11" ht="12.75" x14ac:dyDescent="0.2">
      <c r="A100" s="5">
        <v>42859.683354490742</v>
      </c>
      <c r="B100" s="6" t="s">
        <v>95</v>
      </c>
      <c r="C100" s="6" t="s">
        <v>5</v>
      </c>
      <c r="D100" s="6" t="s">
        <v>10</v>
      </c>
      <c r="E100" s="6" t="b">
        <v>1</v>
      </c>
      <c r="F100" s="6" t="s">
        <v>95</v>
      </c>
      <c r="G100" s="6" t="s">
        <v>7</v>
      </c>
      <c r="H100" s="6" t="s">
        <v>8</v>
      </c>
      <c r="I100" s="6">
        <v>21</v>
      </c>
      <c r="J100" s="6" t="s">
        <v>145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141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176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141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141</v>
      </c>
      <c r="K103" s="6" t="b">
        <v>0</v>
      </c>
    </row>
    <row r="104" spans="1:11" ht="12.75" x14ac:dyDescent="0.2">
      <c r="A104" s="5">
        <v>42857.817749212962</v>
      </c>
      <c r="B104" s="6" t="s">
        <v>35</v>
      </c>
      <c r="C104" s="6" t="s">
        <v>176</v>
      </c>
      <c r="D104" s="6" t="s">
        <v>10</v>
      </c>
      <c r="E104" s="6" t="b">
        <v>1</v>
      </c>
      <c r="F104" s="6" t="s">
        <v>35</v>
      </c>
      <c r="G104" s="6" t="s">
        <v>36</v>
      </c>
      <c r="H104" s="6" t="s">
        <v>8</v>
      </c>
      <c r="I104" s="6">
        <v>21</v>
      </c>
      <c r="J104" s="6" t="s">
        <v>141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174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141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176</v>
      </c>
      <c r="D106" s="6" t="s">
        <v>10</v>
      </c>
      <c r="E106" s="6" t="b">
        <v>1</v>
      </c>
      <c r="F106" s="6" t="s">
        <v>28</v>
      </c>
      <c r="G106" s="6" t="s">
        <v>37</v>
      </c>
      <c r="H106" s="6" t="s">
        <v>8</v>
      </c>
      <c r="I106" s="6">
        <v>21</v>
      </c>
      <c r="J106" s="6" t="s">
        <v>141</v>
      </c>
      <c r="K106" s="6" t="b">
        <v>1</v>
      </c>
    </row>
    <row r="107" spans="1:11" ht="12.75" x14ac:dyDescent="0.2">
      <c r="A107" s="5">
        <v>42858.434201192125</v>
      </c>
      <c r="B107" s="6" t="s">
        <v>50</v>
      </c>
      <c r="C107" s="6" t="s">
        <v>176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141</v>
      </c>
      <c r="K107" s="6" t="b">
        <v>0</v>
      </c>
    </row>
    <row r="108" spans="1:11" ht="12.75" x14ac:dyDescent="0.2">
      <c r="A108" s="5">
        <v>42860.350979224539</v>
      </c>
      <c r="B108" s="6" t="s">
        <v>65</v>
      </c>
      <c r="C108" s="6" t="s">
        <v>174</v>
      </c>
      <c r="D108" s="6" t="s">
        <v>21</v>
      </c>
      <c r="E108" s="6" t="b">
        <v>1</v>
      </c>
      <c r="F108" s="6" t="s">
        <v>65</v>
      </c>
      <c r="G108" s="6" t="s">
        <v>136</v>
      </c>
      <c r="H108" s="6" t="s">
        <v>8</v>
      </c>
      <c r="I108" s="6">
        <v>21</v>
      </c>
      <c r="J108" s="6" t="s">
        <v>141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174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141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176</v>
      </c>
      <c r="D110" s="6" t="s">
        <v>15</v>
      </c>
      <c r="E110" s="6" t="b">
        <v>1</v>
      </c>
      <c r="F110" s="6" t="s">
        <v>32</v>
      </c>
      <c r="G110" s="6" t="s">
        <v>122</v>
      </c>
      <c r="H110" s="6" t="s">
        <v>8</v>
      </c>
      <c r="I110" s="6">
        <v>21</v>
      </c>
      <c r="J110" s="6" t="s">
        <v>153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175</v>
      </c>
      <c r="D111" s="6" t="s">
        <v>42</v>
      </c>
      <c r="E111" s="6" t="b">
        <v>1</v>
      </c>
      <c r="F111" s="6" t="s">
        <v>9</v>
      </c>
      <c r="G111" s="6" t="s">
        <v>122</v>
      </c>
      <c r="H111" s="6" t="s">
        <v>8</v>
      </c>
      <c r="I111" s="6">
        <v>21</v>
      </c>
      <c r="J111" s="6" t="s">
        <v>76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176</v>
      </c>
      <c r="D112" s="6" t="s">
        <v>6</v>
      </c>
      <c r="E112" s="6" t="b">
        <v>0</v>
      </c>
      <c r="F112" s="6" t="s">
        <v>60</v>
      </c>
      <c r="G112" s="6" t="s">
        <v>7</v>
      </c>
      <c r="H112" s="6" t="s">
        <v>13</v>
      </c>
      <c r="I112" s="6">
        <v>21</v>
      </c>
      <c r="J112" s="6" t="s">
        <v>76</v>
      </c>
      <c r="K112" s="6" t="b">
        <v>0</v>
      </c>
    </row>
    <row r="113" spans="1:11" ht="12.75" x14ac:dyDescent="0.2">
      <c r="A113" s="5">
        <v>42862.02647759259</v>
      </c>
      <c r="B113" s="6" t="s">
        <v>106</v>
      </c>
      <c r="C113" s="6" t="s">
        <v>174</v>
      </c>
      <c r="D113" s="6" t="s">
        <v>10</v>
      </c>
      <c r="E113" s="6" t="b">
        <v>1</v>
      </c>
      <c r="F113" s="6" t="s">
        <v>106</v>
      </c>
      <c r="G113" s="6" t="s">
        <v>7</v>
      </c>
      <c r="H113" s="6" t="s">
        <v>8</v>
      </c>
      <c r="I113" s="6">
        <v>21</v>
      </c>
      <c r="J113" s="6" t="s">
        <v>76</v>
      </c>
      <c r="K113" s="6" t="b">
        <v>0</v>
      </c>
    </row>
    <row r="114" spans="1:11" ht="12.75" x14ac:dyDescent="0.2">
      <c r="A114" s="5">
        <v>42862.838533599541</v>
      </c>
      <c r="B114" s="6" t="s">
        <v>35</v>
      </c>
      <c r="C114" s="6" t="s">
        <v>176</v>
      </c>
      <c r="D114" s="6" t="s">
        <v>10</v>
      </c>
      <c r="E114" s="6" t="b">
        <v>1</v>
      </c>
      <c r="F114" s="6" t="s">
        <v>32</v>
      </c>
      <c r="G114" s="6" t="s">
        <v>78</v>
      </c>
      <c r="H114" s="6" t="s">
        <v>8</v>
      </c>
      <c r="I114" s="6">
        <v>21</v>
      </c>
      <c r="J114" s="6" t="s">
        <v>76</v>
      </c>
      <c r="K114" s="6" t="b">
        <v>1</v>
      </c>
    </row>
    <row r="115" spans="1:11" ht="12.75" x14ac:dyDescent="0.2">
      <c r="A115" s="5">
        <v>42862.857035486115</v>
      </c>
      <c r="B115" s="6" t="s">
        <v>117</v>
      </c>
      <c r="C115" s="6" t="s">
        <v>176</v>
      </c>
      <c r="D115" s="6" t="s">
        <v>10</v>
      </c>
      <c r="E115" s="6" t="b">
        <v>1</v>
      </c>
      <c r="F115" s="6" t="s">
        <v>117</v>
      </c>
      <c r="G115" s="6" t="s">
        <v>17</v>
      </c>
      <c r="H115" s="6" t="s">
        <v>8</v>
      </c>
      <c r="I115" s="6">
        <v>21</v>
      </c>
      <c r="J115" s="6" t="s">
        <v>76</v>
      </c>
      <c r="K115" s="6" t="b">
        <v>1</v>
      </c>
    </row>
    <row r="116" spans="1:11" ht="12.75" x14ac:dyDescent="0.2">
      <c r="A116" s="5">
        <v>42860.654079502317</v>
      </c>
      <c r="B116" s="6" t="s">
        <v>44</v>
      </c>
      <c r="C116" s="6" t="s">
        <v>178</v>
      </c>
      <c r="D116" s="6" t="s">
        <v>10</v>
      </c>
      <c r="E116" s="6" t="b">
        <v>1</v>
      </c>
      <c r="F116" s="6" t="s">
        <v>60</v>
      </c>
      <c r="G116" s="6" t="s">
        <v>68</v>
      </c>
      <c r="H116" s="6" t="s">
        <v>8</v>
      </c>
      <c r="I116" s="6">
        <v>21</v>
      </c>
      <c r="J116" s="6" t="s">
        <v>69</v>
      </c>
      <c r="K116" s="6" t="b">
        <v>1</v>
      </c>
    </row>
    <row r="117" spans="1:11" ht="12.75" x14ac:dyDescent="0.2">
      <c r="A117" s="5">
        <v>42860.721876307871</v>
      </c>
      <c r="B117" s="6" t="s">
        <v>104</v>
      </c>
      <c r="C117" s="6" t="s">
        <v>174</v>
      </c>
      <c r="D117" s="6" t="s">
        <v>21</v>
      </c>
      <c r="E117" s="6" t="b">
        <v>0</v>
      </c>
      <c r="F117" s="6" t="s">
        <v>35</v>
      </c>
      <c r="G117" s="6" t="s">
        <v>37</v>
      </c>
      <c r="H117" s="6" t="s">
        <v>13</v>
      </c>
      <c r="I117" s="6">
        <v>21</v>
      </c>
      <c r="J117" s="6" t="s">
        <v>69</v>
      </c>
      <c r="K117" s="6" t="b">
        <v>1</v>
      </c>
    </row>
    <row r="118" spans="1:11" ht="12.75" x14ac:dyDescent="0.2">
      <c r="A118" s="5">
        <v>42862.030934907409</v>
      </c>
      <c r="B118" s="6" t="s">
        <v>116</v>
      </c>
      <c r="C118" s="6" t="s">
        <v>176</v>
      </c>
      <c r="D118" s="6" t="s">
        <v>10</v>
      </c>
      <c r="E118" s="6" t="b">
        <v>1</v>
      </c>
      <c r="F118" s="6" t="s">
        <v>116</v>
      </c>
      <c r="G118" s="6" t="s">
        <v>138</v>
      </c>
      <c r="H118" s="6" t="s">
        <v>8</v>
      </c>
      <c r="I118" s="6">
        <v>21</v>
      </c>
      <c r="J118" s="6" t="s">
        <v>69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176</v>
      </c>
      <c r="D119" s="6" t="s">
        <v>47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69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174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154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62</v>
      </c>
      <c r="K121" s="6" t="b">
        <v>0</v>
      </c>
    </row>
    <row r="122" spans="1:11" ht="12.75" x14ac:dyDescent="0.2">
      <c r="A122" s="5">
        <v>42859.959662800931</v>
      </c>
      <c r="B122" s="6" t="s">
        <v>100</v>
      </c>
      <c r="C122" s="6" t="s">
        <v>176</v>
      </c>
      <c r="D122" s="6" t="s">
        <v>10</v>
      </c>
      <c r="E122" s="6" t="b">
        <v>1</v>
      </c>
      <c r="F122" s="6" t="s">
        <v>115</v>
      </c>
      <c r="G122" s="6" t="s">
        <v>7</v>
      </c>
      <c r="H122" s="6" t="s">
        <v>8</v>
      </c>
      <c r="I122" s="6">
        <v>21</v>
      </c>
      <c r="J122" s="6" t="s">
        <v>146</v>
      </c>
      <c r="K122" s="6" t="b">
        <v>0</v>
      </c>
    </row>
    <row r="123" spans="1:11" ht="12.75" x14ac:dyDescent="0.2">
      <c r="A123" s="5">
        <v>42860.483716168979</v>
      </c>
      <c r="B123" s="6" t="s">
        <v>53</v>
      </c>
      <c r="C123" s="6" t="s">
        <v>178</v>
      </c>
      <c r="D123" s="6" t="s">
        <v>41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146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174</v>
      </c>
      <c r="D124" s="6" t="s">
        <v>21</v>
      </c>
      <c r="E124" s="6" t="b">
        <v>1</v>
      </c>
      <c r="F124" s="6" t="s">
        <v>9</v>
      </c>
      <c r="G124" s="6" t="s">
        <v>43</v>
      </c>
      <c r="H124" s="6" t="s">
        <v>8</v>
      </c>
      <c r="I124" s="6">
        <v>21</v>
      </c>
      <c r="J124" s="6" t="s">
        <v>146</v>
      </c>
      <c r="K124" s="6" t="b">
        <v>1</v>
      </c>
    </row>
    <row r="125" spans="1:11" ht="12.75" x14ac:dyDescent="0.2">
      <c r="A125" s="5">
        <v>42862.958151782412</v>
      </c>
      <c r="B125" s="6" t="s">
        <v>81</v>
      </c>
      <c r="C125" s="6" t="s">
        <v>5</v>
      </c>
      <c r="D125" s="6" t="s">
        <v>10</v>
      </c>
      <c r="E125" s="6" t="b">
        <v>1</v>
      </c>
      <c r="F125" s="6" t="s">
        <v>81</v>
      </c>
      <c r="G125" s="6" t="s">
        <v>7</v>
      </c>
      <c r="H125" s="6" t="s">
        <v>8</v>
      </c>
      <c r="I125" s="6">
        <v>21</v>
      </c>
      <c r="J125" s="6" t="s">
        <v>146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56</v>
      </c>
      <c r="K126" s="6" t="b">
        <v>0</v>
      </c>
    </row>
    <row r="127" spans="1:11" ht="12.75" x14ac:dyDescent="0.2">
      <c r="A127" s="5">
        <v>42859.765625115746</v>
      </c>
      <c r="B127" s="6" t="s">
        <v>96</v>
      </c>
      <c r="C127" s="6" t="s">
        <v>174</v>
      </c>
      <c r="D127" s="6" t="s">
        <v>10</v>
      </c>
      <c r="E127" s="6" t="b">
        <v>1</v>
      </c>
      <c r="F127" s="6" t="s">
        <v>114</v>
      </c>
      <c r="G127" s="6" t="s">
        <v>134</v>
      </c>
      <c r="H127" s="6" t="s">
        <v>8</v>
      </c>
      <c r="I127" s="6">
        <v>21</v>
      </c>
      <c r="J127" s="6" t="s">
        <v>56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178</v>
      </c>
      <c r="D128" s="6" t="s">
        <v>42</v>
      </c>
      <c r="E128" s="6" t="b">
        <v>1</v>
      </c>
      <c r="F128" s="6" t="s">
        <v>9</v>
      </c>
      <c r="G128" s="6" t="s">
        <v>43</v>
      </c>
      <c r="H128" s="6" t="s">
        <v>8</v>
      </c>
      <c r="I128" s="6">
        <v>21</v>
      </c>
      <c r="J128" s="6" t="s">
        <v>56</v>
      </c>
      <c r="K128" s="6" t="b">
        <v>1</v>
      </c>
    </row>
    <row r="129" spans="1:11" ht="12.75" x14ac:dyDescent="0.2">
      <c r="A129" s="5">
        <v>42862.943108182866</v>
      </c>
      <c r="B129" s="6" t="s">
        <v>109</v>
      </c>
      <c r="C129" s="6" t="s">
        <v>178</v>
      </c>
      <c r="D129" s="6" t="s">
        <v>21</v>
      </c>
      <c r="E129" s="6" t="b">
        <v>1</v>
      </c>
      <c r="F129" s="6" t="s">
        <v>118</v>
      </c>
      <c r="G129" s="6" t="s">
        <v>140</v>
      </c>
      <c r="H129" s="6" t="s">
        <v>8</v>
      </c>
      <c r="I129" s="6">
        <v>21</v>
      </c>
      <c r="J129" s="6" t="s">
        <v>159</v>
      </c>
      <c r="K129" s="6" t="b">
        <v>0</v>
      </c>
    </row>
    <row r="130" spans="1:11" ht="12.75" x14ac:dyDescent="0.2">
      <c r="A130" s="5">
        <v>42862.754408020832</v>
      </c>
      <c r="B130" s="6" t="s">
        <v>73</v>
      </c>
      <c r="C130" s="6" t="s">
        <v>176</v>
      </c>
      <c r="D130" s="6" t="s">
        <v>10</v>
      </c>
      <c r="E130" s="6" t="b">
        <v>1</v>
      </c>
      <c r="F130" s="6" t="s">
        <v>74</v>
      </c>
      <c r="G130" s="6" t="s">
        <v>139</v>
      </c>
      <c r="H130" s="6" t="s">
        <v>8</v>
      </c>
      <c r="I130" s="6">
        <v>21</v>
      </c>
      <c r="J130" s="6" t="s">
        <v>155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174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180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176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174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176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174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174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178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54</v>
      </c>
      <c r="C140" s="6" t="s">
        <v>176</v>
      </c>
      <c r="D140" s="6" t="s">
        <v>21</v>
      </c>
      <c r="E140" s="6" t="b">
        <v>1</v>
      </c>
      <c r="F140" s="6" t="s">
        <v>32</v>
      </c>
      <c r="G140" s="6" t="s">
        <v>43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48</v>
      </c>
      <c r="G141" s="6" t="s">
        <v>7</v>
      </c>
      <c r="H141" s="6" t="s">
        <v>8</v>
      </c>
      <c r="I141" s="6">
        <v>22</v>
      </c>
      <c r="J141" s="6" t="s">
        <v>147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176</v>
      </c>
      <c r="D142" s="6" t="s">
        <v>10</v>
      </c>
      <c r="E142" s="6" t="b">
        <v>1</v>
      </c>
      <c r="F142" s="6" t="s">
        <v>9</v>
      </c>
      <c r="G142" s="6" t="s">
        <v>122</v>
      </c>
      <c r="H142" s="6" t="s">
        <v>8</v>
      </c>
      <c r="I142" s="6">
        <v>22</v>
      </c>
      <c r="J142" s="6" t="s">
        <v>142</v>
      </c>
      <c r="K142" s="6" t="b">
        <v>0</v>
      </c>
    </row>
    <row r="143" spans="1:11" ht="12.75" x14ac:dyDescent="0.2">
      <c r="A143" s="5">
        <v>42861.603606400458</v>
      </c>
      <c r="B143" s="6" t="s">
        <v>70</v>
      </c>
      <c r="C143" s="6" t="s">
        <v>178</v>
      </c>
      <c r="D143" s="6" t="s">
        <v>10</v>
      </c>
      <c r="E143" s="6" t="b">
        <v>1</v>
      </c>
      <c r="F143" s="6" t="s">
        <v>70</v>
      </c>
      <c r="G143" s="6" t="s">
        <v>137</v>
      </c>
      <c r="H143" s="6" t="s">
        <v>8</v>
      </c>
      <c r="I143" s="6">
        <v>22</v>
      </c>
      <c r="J143" s="6" t="s">
        <v>83</v>
      </c>
      <c r="K143" s="6" t="b">
        <v>1</v>
      </c>
    </row>
    <row r="144" spans="1:11" ht="12.75" x14ac:dyDescent="0.2">
      <c r="A144" s="5">
        <v>42861.611814131946</v>
      </c>
      <c r="B144" s="6" t="s">
        <v>105</v>
      </c>
      <c r="C144" s="6" t="s">
        <v>174</v>
      </c>
      <c r="D144" s="6" t="s">
        <v>21</v>
      </c>
      <c r="E144" s="6" t="b">
        <v>1</v>
      </c>
      <c r="F144" s="6" t="s">
        <v>71</v>
      </c>
      <c r="G144" s="6" t="s">
        <v>72</v>
      </c>
      <c r="H144" s="6" t="s">
        <v>8</v>
      </c>
      <c r="I144" s="6">
        <v>22</v>
      </c>
      <c r="J144" s="6" t="s">
        <v>83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176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83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83</v>
      </c>
      <c r="K146" s="6" t="b">
        <v>0</v>
      </c>
    </row>
    <row r="147" spans="1:11" ht="12.75" x14ac:dyDescent="0.2">
      <c r="A147" s="5">
        <v>42862.80188324074</v>
      </c>
      <c r="B147" s="6" t="s">
        <v>77</v>
      </c>
      <c r="C147" s="6" t="s">
        <v>178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51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152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178</v>
      </c>
      <c r="D149" s="6" t="s">
        <v>21</v>
      </c>
      <c r="E149" s="6" t="b">
        <v>1</v>
      </c>
      <c r="F149" s="6" t="s">
        <v>28</v>
      </c>
      <c r="G149" s="6" t="s">
        <v>37</v>
      </c>
      <c r="H149" s="6" t="s">
        <v>8</v>
      </c>
      <c r="I149" s="6">
        <v>22</v>
      </c>
      <c r="J149" s="6" t="s">
        <v>141</v>
      </c>
      <c r="K149" s="6" t="b">
        <v>1</v>
      </c>
    </row>
    <row r="150" spans="1:11" ht="12.75" x14ac:dyDescent="0.2">
      <c r="A150" s="5">
        <v>42857.906102499997</v>
      </c>
      <c r="B150" s="6" t="s">
        <v>111</v>
      </c>
      <c r="C150" s="6" t="s">
        <v>176</v>
      </c>
      <c r="D150" s="6" t="s">
        <v>10</v>
      </c>
      <c r="E150" s="6" t="b">
        <v>1</v>
      </c>
      <c r="F150" s="6" t="s">
        <v>111</v>
      </c>
      <c r="G150" s="6" t="s">
        <v>121</v>
      </c>
      <c r="H150" s="6" t="s">
        <v>8</v>
      </c>
      <c r="I150" s="6">
        <v>22</v>
      </c>
      <c r="J150" s="6" t="s">
        <v>141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178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141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141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178</v>
      </c>
      <c r="D153" s="6" t="s">
        <v>21</v>
      </c>
      <c r="E153" s="6" t="b">
        <v>1</v>
      </c>
      <c r="F153" s="6" t="s">
        <v>33</v>
      </c>
      <c r="G153" s="6" t="s">
        <v>120</v>
      </c>
      <c r="H153" s="6" t="s">
        <v>8</v>
      </c>
      <c r="I153" s="6">
        <v>22</v>
      </c>
      <c r="J153" s="6" t="s">
        <v>141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180</v>
      </c>
      <c r="D154" s="6" t="s">
        <v>21</v>
      </c>
      <c r="E154" s="6" t="b">
        <v>1</v>
      </c>
      <c r="F154" s="6" t="s">
        <v>55</v>
      </c>
      <c r="G154" s="6" t="s">
        <v>131</v>
      </c>
      <c r="H154" s="6" t="s">
        <v>8</v>
      </c>
      <c r="I154" s="6">
        <v>22</v>
      </c>
      <c r="J154" s="6" t="s">
        <v>141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176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141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174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141</v>
      </c>
      <c r="K156" s="6" t="b">
        <v>1</v>
      </c>
    </row>
    <row r="157" spans="1:11" ht="12.75" x14ac:dyDescent="0.2">
      <c r="A157" s="5">
        <v>42862.765407222221</v>
      </c>
      <c r="B157" s="6" t="s">
        <v>63</v>
      </c>
      <c r="C157" s="6" t="s">
        <v>178</v>
      </c>
      <c r="D157" s="6" t="s">
        <v>42</v>
      </c>
      <c r="E157" s="6" t="b">
        <v>1</v>
      </c>
      <c r="F157" s="6" t="s">
        <v>63</v>
      </c>
      <c r="G157" s="6" t="s">
        <v>31</v>
      </c>
      <c r="H157" s="6" t="s">
        <v>8</v>
      </c>
      <c r="I157" s="6">
        <v>22</v>
      </c>
      <c r="J157" s="6" t="s">
        <v>76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69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79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176</v>
      </c>
      <c r="D160" s="6" t="s">
        <v>10</v>
      </c>
      <c r="E160" s="6" t="b">
        <v>1</v>
      </c>
      <c r="F160" s="6" t="s">
        <v>19</v>
      </c>
      <c r="G160" s="6" t="s">
        <v>40</v>
      </c>
      <c r="H160" s="6" t="s">
        <v>8</v>
      </c>
      <c r="I160" s="6">
        <v>22</v>
      </c>
      <c r="J160" s="6" t="s">
        <v>66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84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62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178</v>
      </c>
      <c r="D163" s="6" t="s">
        <v>10</v>
      </c>
      <c r="E163" s="6" t="b">
        <v>1</v>
      </c>
      <c r="F163" s="6" t="s">
        <v>9</v>
      </c>
      <c r="G163" s="6" t="s">
        <v>122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178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84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122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175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83</v>
      </c>
      <c r="K167" s="6" t="b">
        <v>0</v>
      </c>
    </row>
    <row r="168" spans="1:11" ht="12.75" x14ac:dyDescent="0.2">
      <c r="A168" s="5">
        <v>42860.064086342594</v>
      </c>
      <c r="B168" s="6" t="s">
        <v>63</v>
      </c>
      <c r="C168" s="6" t="s">
        <v>175</v>
      </c>
      <c r="D168" s="6" t="s">
        <v>25</v>
      </c>
      <c r="E168" s="6" t="b">
        <v>1</v>
      </c>
      <c r="F168" s="6" t="s">
        <v>63</v>
      </c>
      <c r="G168" s="6" t="s">
        <v>17</v>
      </c>
      <c r="H168" s="6" t="s">
        <v>8</v>
      </c>
      <c r="I168" s="6">
        <v>23</v>
      </c>
      <c r="J168" s="6" t="s">
        <v>158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84</v>
      </c>
      <c r="D169" s="6" t="s">
        <v>47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85</v>
      </c>
      <c r="K169" s="6" t="b">
        <v>0</v>
      </c>
    </row>
    <row r="170" spans="1:11" ht="12.75" x14ac:dyDescent="0.2">
      <c r="A170" s="5">
        <v>42862.784267476847</v>
      </c>
      <c r="B170" s="6" t="s">
        <v>108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148</v>
      </c>
      <c r="K170" s="6" t="b">
        <v>1</v>
      </c>
    </row>
    <row r="171" spans="1:11" ht="12.75" x14ac:dyDescent="0.2">
      <c r="A171" s="5">
        <v>42862.969924340279</v>
      </c>
      <c r="B171" s="6" t="s">
        <v>82</v>
      </c>
      <c r="C171" s="6" t="s">
        <v>174</v>
      </c>
      <c r="D171" s="6" t="s">
        <v>21</v>
      </c>
      <c r="E171" s="6" t="b">
        <v>1</v>
      </c>
      <c r="F171" s="6" t="s">
        <v>35</v>
      </c>
      <c r="G171" s="6" t="s">
        <v>29</v>
      </c>
      <c r="H171" s="6" t="s">
        <v>8</v>
      </c>
      <c r="I171" s="6">
        <v>23</v>
      </c>
      <c r="J171" s="6" t="s">
        <v>148</v>
      </c>
      <c r="K171" s="6" t="b">
        <v>0</v>
      </c>
    </row>
    <row r="172" spans="1:11" ht="12.75" x14ac:dyDescent="0.2">
      <c r="A172" s="5">
        <v>42860.429063518517</v>
      </c>
      <c r="B172" s="6" t="s">
        <v>55</v>
      </c>
      <c r="C172" s="6" t="s">
        <v>174</v>
      </c>
      <c r="D172" s="6" t="s">
        <v>10</v>
      </c>
      <c r="E172" s="6" t="b">
        <v>1</v>
      </c>
      <c r="F172" s="6" t="s">
        <v>9</v>
      </c>
      <c r="G172" s="6" t="s">
        <v>122</v>
      </c>
      <c r="H172" s="6" t="s">
        <v>8</v>
      </c>
      <c r="I172" s="6">
        <v>23</v>
      </c>
      <c r="J172" s="6" t="s">
        <v>149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176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141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178</v>
      </c>
      <c r="D174" s="6" t="s">
        <v>21</v>
      </c>
      <c r="E174" s="6" t="b">
        <v>1</v>
      </c>
      <c r="F174" s="6" t="s">
        <v>33</v>
      </c>
      <c r="G174" s="6" t="s">
        <v>120</v>
      </c>
      <c r="H174" s="6" t="s">
        <v>8</v>
      </c>
      <c r="I174" s="6">
        <v>23</v>
      </c>
      <c r="J174" s="6" t="s">
        <v>141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141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141</v>
      </c>
      <c r="K176" s="6" t="b">
        <v>0</v>
      </c>
    </row>
    <row r="177" spans="1:11" ht="12.75" x14ac:dyDescent="0.2">
      <c r="A177" s="5">
        <v>42862.928726840277</v>
      </c>
      <c r="B177" s="6" t="s">
        <v>45</v>
      </c>
      <c r="C177" s="6" t="s">
        <v>181</v>
      </c>
      <c r="D177" s="6" t="s">
        <v>10</v>
      </c>
      <c r="E177" s="6" t="b">
        <v>1</v>
      </c>
      <c r="F177" s="6" t="s">
        <v>45</v>
      </c>
      <c r="G177" s="6" t="s">
        <v>7</v>
      </c>
      <c r="H177" s="6" t="s">
        <v>8</v>
      </c>
      <c r="I177" s="6">
        <v>23</v>
      </c>
      <c r="J177" s="6" t="s">
        <v>76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69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176</v>
      </c>
      <c r="D179" s="6" t="s">
        <v>10</v>
      </c>
      <c r="E179" s="6" t="b">
        <v>1</v>
      </c>
      <c r="F179" s="6" t="s">
        <v>75</v>
      </c>
      <c r="G179" s="6" t="s">
        <v>7</v>
      </c>
      <c r="H179" s="6" t="s">
        <v>8</v>
      </c>
      <c r="I179" s="6">
        <v>23</v>
      </c>
      <c r="J179" s="6" t="s">
        <v>69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176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146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56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174</v>
      </c>
      <c r="D182" s="6" t="s">
        <v>10</v>
      </c>
      <c r="E182" s="6" t="b">
        <v>1</v>
      </c>
      <c r="F182" s="6" t="s">
        <v>30</v>
      </c>
      <c r="G182" s="6" t="s">
        <v>34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178</v>
      </c>
      <c r="D183" s="6" t="s">
        <v>21</v>
      </c>
      <c r="E183" s="6" t="b">
        <v>1</v>
      </c>
      <c r="F183" s="6" t="s">
        <v>30</v>
      </c>
      <c r="G183" s="6" t="s">
        <v>49</v>
      </c>
      <c r="H183" s="6" t="s">
        <v>8</v>
      </c>
      <c r="I183" s="6">
        <v>24</v>
      </c>
      <c r="J183" s="6" t="s">
        <v>158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149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174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141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178</v>
      </c>
      <c r="D186" s="6" t="s">
        <v>10</v>
      </c>
      <c r="E186" s="6" t="b">
        <v>1</v>
      </c>
      <c r="F186" s="6" t="s">
        <v>9</v>
      </c>
      <c r="G186" s="6" t="s">
        <v>122</v>
      </c>
      <c r="H186" s="6" t="s">
        <v>8</v>
      </c>
      <c r="I186" s="6">
        <v>24</v>
      </c>
      <c r="J186" s="6" t="s">
        <v>141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174</v>
      </c>
      <c r="D187" s="6" t="s">
        <v>42</v>
      </c>
      <c r="E187" s="6" t="b">
        <v>1</v>
      </c>
      <c r="F187" s="6" t="s">
        <v>33</v>
      </c>
      <c r="G187" s="6" t="s">
        <v>120</v>
      </c>
      <c r="H187" s="6" t="s">
        <v>8</v>
      </c>
      <c r="I187" s="6">
        <v>24</v>
      </c>
      <c r="J187" s="6" t="s">
        <v>141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175</v>
      </c>
      <c r="D188" s="6" t="s">
        <v>10</v>
      </c>
      <c r="E188" s="6" t="b">
        <v>1</v>
      </c>
      <c r="F188" s="6" t="s">
        <v>33</v>
      </c>
      <c r="G188" s="6" t="s">
        <v>120</v>
      </c>
      <c r="H188" s="6" t="s">
        <v>8</v>
      </c>
      <c r="I188" s="6">
        <v>24</v>
      </c>
      <c r="J188" s="6" t="s">
        <v>141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174</v>
      </c>
      <c r="D189" s="6" t="s">
        <v>10</v>
      </c>
      <c r="E189" s="6" t="b">
        <v>1</v>
      </c>
      <c r="F189" s="6" t="s">
        <v>19</v>
      </c>
      <c r="G189" s="6" t="s">
        <v>124</v>
      </c>
      <c r="H189" s="6" t="s">
        <v>8</v>
      </c>
      <c r="I189" s="6">
        <v>24</v>
      </c>
      <c r="J189" s="6" t="s">
        <v>141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178</v>
      </c>
      <c r="D190" s="6" t="s">
        <v>21</v>
      </c>
      <c r="E190" s="6" t="b">
        <v>1</v>
      </c>
      <c r="F190" s="6" t="s">
        <v>9</v>
      </c>
      <c r="G190" s="6" t="s">
        <v>43</v>
      </c>
      <c r="H190" s="6" t="s">
        <v>8</v>
      </c>
      <c r="I190" s="6">
        <v>24</v>
      </c>
      <c r="J190" s="6" t="s">
        <v>56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178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141</v>
      </c>
      <c r="K191" s="6" t="b">
        <v>0</v>
      </c>
    </row>
    <row r="192" spans="1:11" ht="12.75" x14ac:dyDescent="0.2">
      <c r="A192" s="5">
        <v>42857.826633935183</v>
      </c>
      <c r="B192" s="6" t="s">
        <v>38</v>
      </c>
      <c r="C192" s="6" t="s">
        <v>178</v>
      </c>
      <c r="D192" s="6" t="s">
        <v>21</v>
      </c>
      <c r="E192" s="6" t="b">
        <v>1</v>
      </c>
      <c r="F192" s="6" t="s">
        <v>38</v>
      </c>
      <c r="G192" s="6" t="s">
        <v>7</v>
      </c>
      <c r="H192" s="6" t="s">
        <v>8</v>
      </c>
      <c r="I192" s="6">
        <v>25</v>
      </c>
      <c r="J192" s="6" t="s">
        <v>141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54</v>
      </c>
      <c r="C194" s="6" t="s">
        <v>178</v>
      </c>
      <c r="D194" s="6" t="s">
        <v>42</v>
      </c>
      <c r="E194" s="6" t="b">
        <v>1</v>
      </c>
      <c r="F194" s="6" t="s">
        <v>32</v>
      </c>
      <c r="G194" s="6" t="s">
        <v>122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176</v>
      </c>
      <c r="D195" s="6" t="s">
        <v>47</v>
      </c>
      <c r="E195" s="6" t="b">
        <v>1</v>
      </c>
      <c r="F195" s="6" t="s">
        <v>48</v>
      </c>
      <c r="G195" s="6" t="s">
        <v>17</v>
      </c>
      <c r="H195" s="6" t="s">
        <v>8</v>
      </c>
      <c r="I195" s="6">
        <v>26</v>
      </c>
      <c r="J195" s="6" t="s">
        <v>141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176</v>
      </c>
      <c r="D196" s="6" t="s">
        <v>41</v>
      </c>
      <c r="E196" s="6" t="b">
        <v>1</v>
      </c>
      <c r="F196" s="6" t="s">
        <v>9</v>
      </c>
      <c r="G196" s="6" t="s">
        <v>122</v>
      </c>
      <c r="H196" s="6" t="s">
        <v>8</v>
      </c>
      <c r="I196" s="6">
        <v>26</v>
      </c>
      <c r="J196" s="6" t="s">
        <v>56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176</v>
      </c>
      <c r="D197" s="6" t="s">
        <v>10</v>
      </c>
      <c r="E197" s="6" t="b">
        <v>1</v>
      </c>
      <c r="F197" s="6" t="s">
        <v>9</v>
      </c>
      <c r="G197" s="6" t="s">
        <v>43</v>
      </c>
      <c r="H197" s="6" t="s">
        <v>13</v>
      </c>
      <c r="I197" s="6">
        <v>28</v>
      </c>
      <c r="J197" s="6" t="s">
        <v>56</v>
      </c>
      <c r="K197" s="6" t="b">
        <v>0</v>
      </c>
    </row>
    <row r="198" spans="1:11" ht="12.75" x14ac:dyDescent="0.2">
      <c r="A198" s="5">
        <v>42858.421133310185</v>
      </c>
      <c r="B198" s="6" t="s">
        <v>75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110</v>
      </c>
      <c r="C199" s="6" t="s">
        <v>174</v>
      </c>
      <c r="D199" s="6" t="s">
        <v>47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156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D633E66-8DA3-4433-8D72-2DE26948B0B3}">
  <ds:schemaRefs/>
</ds:datastoreItem>
</file>

<file path=customXml/itemProps2.xml><?xml version="1.0" encoding="utf-8"?>
<ds:datastoreItem xmlns:ds="http://schemas.openxmlformats.org/officeDocument/2006/customXml" ds:itemID="{0B1D6B4A-9AEF-4DEF-932A-CDD13EC7AD7E}">
  <ds:schemaRefs/>
</ds:datastoreItem>
</file>

<file path=customXml/itemProps3.xml><?xml version="1.0" encoding="utf-8"?>
<ds:datastoreItem xmlns:ds="http://schemas.openxmlformats.org/officeDocument/2006/customXml" ds:itemID="{A5163809-8584-4594-819F-FF99A6F09C1F}">
  <ds:schemaRefs/>
</ds:datastoreItem>
</file>

<file path=customXml/itemProps4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50BC381-D92B-4186-9A1B-4BE186533577}">
  <ds:schemaRefs/>
</ds:datastoreItem>
</file>

<file path=customXml/itemProps6.xml><?xml version="1.0" encoding="utf-8"?>
<ds:datastoreItem xmlns:ds="http://schemas.openxmlformats.org/officeDocument/2006/customXml" ds:itemID="{5CE8F423-F57F-4326-94F4-3A36E807236D}">
  <ds:schemaRefs/>
</ds:datastoreItem>
</file>

<file path=customXml/itemProps7.xml><?xml version="1.0" encoding="utf-8"?>
<ds:datastoreItem xmlns:ds="http://schemas.openxmlformats.org/officeDocument/2006/customXml" ds:itemID="{4D8FF976-0126-499E-A785-D38E10C755BA}">
  <ds:schemaRefs/>
</ds:datastoreItem>
</file>

<file path=customXml/itemProps8.xml><?xml version="1.0" encoding="utf-8"?>
<ds:datastoreItem xmlns:ds="http://schemas.openxmlformats.org/officeDocument/2006/customXml" ds:itemID="{BA7CE466-4846-47A6-812F-C94A72652B0B}">
  <ds:schemaRefs/>
</ds:datastoreItem>
</file>

<file path=customXml/itemProps9.xml><?xml version="1.0" encoding="utf-8"?>
<ds:datastoreItem xmlns:ds="http://schemas.openxmlformats.org/officeDocument/2006/customXml" ds:itemID="{1EAFAFE2-208B-43F5-8808-A754BD9EA603}">
  <ds:schemaRefs/>
</ds:datastoreItem>
</file>

<file path=customXml/itemProps10.xml><?xml version="1.0" encoding="utf-8"?>
<ds:datastoreItem xmlns:ds="http://schemas.openxmlformats.org/officeDocument/2006/customXml" ds:itemID="{62AFD071-F5D0-465D-9FE9-744EB4A97C12}">
  <ds:schemaRefs/>
</ds:datastoreItem>
</file>

<file path=customXml/itemProps11.xml><?xml version="1.0" encoding="utf-8"?>
<ds:datastoreItem xmlns:ds="http://schemas.openxmlformats.org/officeDocument/2006/customXml" ds:itemID="{9F416D2C-AD47-42D5-A598-E79C98F21630}">
  <ds:schemaRefs/>
</ds:datastoreItem>
</file>

<file path=customXml/itemProps12.xml><?xml version="1.0" encoding="utf-8"?>
<ds:datastoreItem xmlns:ds="http://schemas.openxmlformats.org/officeDocument/2006/customXml" ds:itemID="{D1146964-AC9D-4194-AE9C-2E5F609DD8D8}">
  <ds:schemaRefs/>
</ds:datastoreItem>
</file>

<file path=customXml/itemProps13.xml><?xml version="1.0" encoding="utf-8"?>
<ds:datastoreItem xmlns:ds="http://schemas.openxmlformats.org/officeDocument/2006/customXml" ds:itemID="{C482852A-4A6B-493B-9929-805B722E6933}">
  <ds:schemaRefs/>
</ds:datastoreItem>
</file>

<file path=customXml/itemProps14.xml><?xml version="1.0" encoding="utf-8"?>
<ds:datastoreItem xmlns:ds="http://schemas.openxmlformats.org/officeDocument/2006/customXml" ds:itemID="{F8F708BD-A119-4D06-9D21-0CEEAD5C6077}">
  <ds:schemaRefs/>
</ds:datastoreItem>
</file>

<file path=customXml/itemProps15.xml><?xml version="1.0" encoding="utf-8"?>
<ds:datastoreItem xmlns:ds="http://schemas.openxmlformats.org/officeDocument/2006/customXml" ds:itemID="{E04D090F-027A-4815-9673-DFF126AB37CF}">
  <ds:schemaRefs/>
</ds:datastoreItem>
</file>

<file path=customXml/itemProps16.xml><?xml version="1.0" encoding="utf-8"?>
<ds:datastoreItem xmlns:ds="http://schemas.openxmlformats.org/officeDocument/2006/customXml" ds:itemID="{B46D0DC2-BE22-44AA-A53D-0D1C0DF598FE}">
  <ds:schemaRefs/>
</ds:datastoreItem>
</file>

<file path=customXml/itemProps17.xml><?xml version="1.0" encoding="utf-8"?>
<ds:datastoreItem xmlns:ds="http://schemas.openxmlformats.org/officeDocument/2006/customXml" ds:itemID="{1642C1D8-54F0-48CD-8A61-7C70B1484A9B}">
  <ds:schemaRefs/>
</ds:datastoreItem>
</file>

<file path=customXml/itemProps18.xml><?xml version="1.0" encoding="utf-8"?>
<ds:datastoreItem xmlns:ds="http://schemas.openxmlformats.org/officeDocument/2006/customXml" ds:itemID="{6BE9E733-B2AB-4F93-9747-5EBD2ECA4D1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przech_odp_druzyna</vt:lpstr>
      <vt:lpstr>przech_odp_gry_turniejowe</vt:lpstr>
      <vt:lpstr>przech_odp_zainteresowanie_turn</vt:lpstr>
      <vt:lpstr>przech_odp_zainteresowanie_espo</vt:lpstr>
      <vt:lpstr>przech_odp_gry_regularne</vt:lpstr>
      <vt:lpstr>odpowiedzi</vt:lpstr>
      <vt:lpstr>wydzial</vt:lpstr>
      <vt:lpstr>plec</vt:lpstr>
      <vt:lpstr>druzyny</vt:lpstr>
      <vt:lpstr>gry_turniejowe</vt:lpstr>
      <vt:lpstr>gry_regularne</vt:lpstr>
      <vt:lpstr>zainteresowanie_turniej</vt:lpstr>
      <vt:lpstr>zainteresowanie_esport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2018-08-22T18:15:58Z</dcterms:modified>
</cp:coreProperties>
</file>